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ies" sheetId="1" r:id="rId5"/>
    <sheet state="visible" name="category_levels" sheetId="2" r:id="rId6"/>
    <sheet state="visible" name="questions" sheetId="3" r:id="rId7"/>
    <sheet state="visible" name="tests" sheetId="4" r:id="rId8"/>
    <sheet state="visible" name="questions_solutions_llm_comment" sheetId="5" r:id="rId9"/>
    <sheet state="visible" name="questions_backlog" sheetId="6" r:id="rId10"/>
  </sheets>
  <definedNames/>
  <calcPr/>
</workbook>
</file>

<file path=xl/sharedStrings.xml><?xml version="1.0" encoding="utf-8"?>
<sst xmlns="http://schemas.openxmlformats.org/spreadsheetml/2006/main" count="246" uniqueCount="177">
  <si>
    <t>category</t>
  </si>
  <si>
    <t>CONTEO</t>
  </si>
  <si>
    <t>FRECUENCIA</t>
  </si>
  <si>
    <t>PROPORCIÓN</t>
  </si>
  <si>
    <t>TIEMPO</t>
  </si>
  <si>
    <t>LONGITUD</t>
  </si>
  <si>
    <t>AREAYVOLUMEN</t>
  </si>
  <si>
    <t>PESO</t>
  </si>
  <si>
    <t>DINERO</t>
  </si>
  <si>
    <t>level</t>
  </si>
  <si>
    <t>id_question</t>
  </si>
  <si>
    <t>p05</t>
  </si>
  <si>
    <t>p95</t>
  </si>
  <si>
    <t>q_p05_p95</t>
  </si>
  <si>
    <t>elo</t>
  </si>
  <si>
    <t>elo_percentil</t>
  </si>
  <si>
    <t>elo_quartil</t>
  </si>
  <si>
    <t>difficulty_manual</t>
  </si>
  <si>
    <t>question</t>
  </si>
  <si>
    <t>¿Cuántos granos de arroz hay en el típico paquete de arroz de 1 kilo?</t>
  </si>
  <si>
    <t>¿Cuántas lentejas caben en una bañera?</t>
  </si>
  <si>
    <t>¿Cuántos spaguetis caben en el contenedor de un típico camión de los grandes que vemos en la carretera?</t>
  </si>
  <si>
    <t>¿Cuántos garbanzos secos caben en una piscina olímpica?</t>
  </si>
  <si>
    <t>¿Cuántas veces late tu corazón durante una hora?</t>
  </si>
  <si>
    <t>¿Cuántas stories se suben a Instagram al día en España de media?</t>
  </si>
  <si>
    <t>¿Cuántos cafés se beben en Europa un lunes?</t>
  </si>
  <si>
    <t>¿Cuántas respiraciones han dado entre todos los españoles desde el año 2000?</t>
  </si>
  <si>
    <t>Uno de cada _________ españoles es de la provincia de Valencia.</t>
  </si>
  <si>
    <t>Uno de cada _________ españoles es de la provincia de Valencia y mide más de 1.90 metros.</t>
  </si>
  <si>
    <t>Uno de cada _________ españoles es de la provincia de Valencia y mide más de 1.90 metros y tiene exactamente 20 años.</t>
  </si>
  <si>
    <t>Uno de cada _________ españoles es de la provincia de Valencia y mide más de 1.90 metros y tiene exactamente 20 años y su nombre empieza por A.</t>
  </si>
  <si>
    <t>¿Cuántos minutos está de media un chico de 15 años en TikTok a la semana en España?</t>
  </si>
  <si>
    <t>¿Cuántas horas tuvo el siglo XX?</t>
  </si>
  <si>
    <t>¿Cuántos minutos se pasa encendido de media un coche en España antes de acabar en el desguace?</t>
  </si>
  <si>
    <t>¿Cuántas horas de Netflix se han visto en España entre 2020 y 2025?</t>
  </si>
  <si>
    <t>¿Cuántos pasos daría el rey Felipe para cruzar España de arriba abajo en línea recta?</t>
  </si>
  <si>
    <t>¿Cuántas monedas de un euro tienes que poner haciendo una torre para llegar a lo alto de la torre Eiffel?</t>
  </si>
  <si>
    <t>¿Cuántos metros miden todos los pelos de Rosalía puestos uno detrás de otro?</t>
  </si>
  <si>
    <t>¿Si desenrollaras todo el papel higiénico que se consume en los hogares de España en un año, cuántas veces podrías cubrir el trayecto de Madrid a Barcelona?</t>
  </si>
  <si>
    <t>¿Cuántos granos de arroz caben en una botella de vino?</t>
  </si>
  <si>
    <t>¿Cuántas bolas de pingpong se necesitan para cubrir el césped del campo de fútbol Santiago Bernabéu?</t>
  </si>
  <si>
    <t>¿Cuántos cartuchos de la Nintendo Switch harían falta para cubrir por completo el estanque de agua del Retiro?</t>
  </si>
  <si>
    <t>¿Cuántos kilobytes de datos de internet se gastan al escuchar 20 horas de música en Spotify en alta calidad?</t>
  </si>
  <si>
    <t>¿Cuántos kilos pesan entre todas las personas que viven en España?</t>
  </si>
  <si>
    <t>¿Cuántos kilos pesan entre todos los teléfonos móviles de España que están encendidos ahora mismo?</t>
  </si>
  <si>
    <t>¿Cuántos kilos pesa la Puerta de Alcalá?</t>
  </si>
  <si>
    <t>¿Cuántos kilos pesan entre todos los coches que pasan por la Cibeles entre las 10 y las 11am un lunes?</t>
  </si>
  <si>
    <t>¿Cuánto dinero se gasta al año una persona que compra un café diario en un bar de Alcorcón cada mañana?</t>
  </si>
  <si>
    <t>¿Cuánto dinero suman todos los coches, nuevos y segunda mano, que se han vendido en España en 2025?</t>
  </si>
  <si>
    <t>¿Cuál es el valor total de todos los iPhone que están funcionando ahora mismo en el mundo?</t>
  </si>
  <si>
    <t>¿Cuántos euros cuesta mantener encendidas todas las farolas de Madrid durante una noche?</t>
  </si>
  <si>
    <t>¿Cuántos folios A4 se necesitan para cubrir por completo la superficie de un campo de fútbol?</t>
  </si>
  <si>
    <t>¿Cuántos pelos tiene un gato doméstico de tamaño medio?</t>
  </si>
  <si>
    <t>¿Cuántos litros de combustible consume un Airbus A380 en un vuelo de Madrid a Nueva York?</t>
  </si>
  <si>
    <t>¿Cuántas pizzas se reparten en Madrid un sábado por la noche entre las 20:00 y las 23:00?</t>
  </si>
  <si>
    <t>¿Cuántas bombillas hay instaladas en el total de los hogares de España?</t>
  </si>
  <si>
    <t>¿Cuántas palabras pronuncia una persona media a lo largo de un día normal?</t>
  </si>
  <si>
    <t>Uno de cada _________ españoles ha nacido un 28 de febrero.</t>
  </si>
  <si>
    <t>¿Cuántas calorías quema un corredor de maratón durante los 42 kilómetros de carrera?</t>
  </si>
  <si>
    <t>¿Cuántos mensajes de WhatsApp se envían en todo el mundo durante un solo segundo?</t>
  </si>
  <si>
    <t>¿Cuántos litros de leche produce una vaca a lo largo de toda su vida productiva?</t>
  </si>
  <si>
    <t>¿Cuántos neumáticos de coche se desechan en España cada año?</t>
  </si>
  <si>
    <t>¿Cuántos minutos de video se suben a YouTube cada hora a nivel global?</t>
  </si>
  <si>
    <t>¿Cuántas monedas de 5 céntimos harían falta para pagar el fichaje de un jugador de fútbol de 100 millones de euros?</t>
  </si>
  <si>
    <t>¿Cuántos kilómetros totales recorre una abeja para producir un solo kilo de miel?</t>
  </si>
  <si>
    <t>¿Cuántos árboles hay plantados en el Parque del Retiro de Madrid?</t>
  </si>
  <si>
    <t>¿Cuántas latas de refresco se reciclan en Europa en un día cualquiera?</t>
  </si>
  <si>
    <t>¿Cuántas células tiene el cuerpo de un bebé recién nacido?</t>
  </si>
  <si>
    <t>¿Cuántas veces cabe el volumen de la Luna dentro del volumen de la Tierra?</t>
  </si>
  <si>
    <t>¿Cuántos cigarrillos se fuman en España en un solo día de diario?</t>
  </si>
  <si>
    <t>¿Cuántos metros de hilo dental usa una persona media si se limpia los dientes cada noche de su vida?</t>
  </si>
  <si>
    <t>¿Cuántos granos de azúcar blanco hay en un sobre de cafetería de 8 gramos?</t>
  </si>
  <si>
    <t>¿Cuántas vueltas completas da la rueda de una bicicleta de carretera en una etapa de 180 km?</t>
  </si>
  <si>
    <t>¿Cuántas unidades de fruta (manzanas, naranjas, etc.) pasan por Mercamadrid en una jornada laboral media?</t>
  </si>
  <si>
    <t>Uno de cada _________ españoles es pelirrojo, tiene menos de 10 años y vive en un piso 12 o superior.</t>
  </si>
  <si>
    <t>¿Cuántos litros de agua se evaporan de todas las piscinas de España en un solo día de agosto?</t>
  </si>
  <si>
    <t>Uno de cada _________ españoles se llama "María", tiene más de 70 años y vive en un municipio de menos de 1.000 habitantes.</t>
  </si>
  <si>
    <t>¿Cuántos kilómetros de espagueti se consumen en toda Italia en un solo almuerzo de domingo?</t>
  </si>
  <si>
    <t>Uno de cada _________ españoles es zurdo, mide más de 1,90 metros y lleva gafas.</t>
  </si>
  <si>
    <t>¿Cuántos kilos pesan entre todas las palomas que viven en la ciudad de Barcelona?</t>
  </si>
  <si>
    <t>Uno de cada _________ españoles se apellida "García", vive en Madrid y tiene perro.</t>
  </si>
  <si>
    <t>¿Cuántos litros de sudor absorbe un judogi (kimono de judo) a lo largo de su vida útil antes de ser desechado, de media?</t>
  </si>
  <si>
    <t>¿Cuántos cinturones negros de judo hay activos actualmente en el mundo?</t>
  </si>
  <si>
    <t>test</t>
  </si>
  <si>
    <t>question_number</t>
  </si>
  <si>
    <t>A</t>
  </si>
  <si>
    <t>B</t>
  </si>
  <si>
    <t>C</t>
  </si>
  <si>
    <t>D</t>
  </si>
  <si>
    <t>Masa unitaria grano pulido seco: Basmati ~15-16mg (~66k) a Arborio/Bomba ~28-29mg (~34k).</t>
  </si>
  <si>
    <t>Lenteja seca. Bañera 140-220L, empaquetamiento 65-75%, volumen unitario 0.025ml (Pardina) a 0.07ml (Castellana).</t>
  </si>
  <si>
    <t>Volumen camión 70-100m³. Espagueti cilindro 25cm, radio 0.8-1.1mm. Empaquetado 50% (cajas) a 90% (granel alineado).</t>
  </si>
  <si>
    <t>Piscina 2500-3750m³. Garbanzo grande Castellano ~0.6g vs pequeño Pedrosillano ~0.2g. Empaquetamiento ~0.64.</t>
  </si>
  <si>
    <t>BPM x 60min. p05: bradicardia reposo/sueño ~50BPM. p95: ejercicio moderado sostenido ~120BPM.</t>
  </si>
  <si>
    <t>13-20M DAU España. 20-40% suben contenido, 2-4 stories/usuario activo.</t>
  </si>
  <si>
    <t>Uso diario x7. p05 ~25min/día (moderado), p95 ~160min/día (intensivo). Cociente ~6.4.</t>
  </si>
  <si>
    <t>Solución casi exacta. p05 ignora bisiestos (100x365x24). p95 calendario gregoriano 1901-2000: 75 comunes + 25 bisiestos.</t>
  </si>
  <si>
    <t>Km total / velocidad media. p05: gasolina ligero/autovía 130k km a 65km/h. p95: diésel/taxi urbano 320k km a 35km/h.</t>
  </si>
  <si>
    <t>6 años (~2190 días). 16-28M usuarios activos, 0.75-1.5h/día. Pico confinamiento 2020 y fatiga posterior.</t>
  </si>
  <si>
    <t>Rey Felipe (1.97m), zancada 0.75-0.95m. Distancia N-S caminable 950-1350km con tortuosidad 1.2-1.4.</t>
  </si>
  <si>
    <t>Torre Eiffel 300-330m, moneda 1€ espesor 2.33mm. ~330000mm/2.33mm ≈ 141630.</t>
  </si>
  <si>
    <t>Cabello capilar. 85k-140k folículos. Longitud media 0.3m (media melena) a 0.85m (extra largo/extensiones).</t>
  </si>
  <si>
    <t>47-48M personas, 40-100 rollos/año, 20-40m/rollo. Distancia Mad-Bcn 500-620km.</t>
  </si>
  <si>
    <t>Botella 750ml, densidad aparente arroz ~0.85g/ml. Varianza por tipo: Basmati ~0.015g vs Arborio ~0.030g.</t>
  </si>
  <si>
    <t>Terreno 105x68m=7140m². Bola 40mm. Empaquetamiento cuadrado ~4.46M vs hexagonal ~5.15M.</t>
  </si>
  <si>
    <t>Piscina 2500-3750m³, bola 40mm (~33.5cm³). Factor empaquetamiento ~60-64%. Variación por profundidad.</t>
  </si>
  <si>
    <t>Superficie Bernabéu ~7140m². 47.5M personas, 20-55kg papel/año per cápita, gramaje 0.10-0.25 kg/m².</t>
  </si>
  <si>
    <t>Población 42-48.5M, peso medio ponderado por edad 62-76kg. Tasas obesidad y demografía.</t>
  </si>
  <si>
    <t>55-110M dispositivos (activos + cajón). Peso medio 135-210g.</t>
  </si>
  <si>
    <t>Flujo 3000-7000 coches/hora (4 arterias). Peso medio 1350-1750kg.</t>
  </si>
  <si>
    <t>Café Alcorcón 1.30-2.30€. Frecuencia 320-365 días/año.</t>
  </si>
  <si>
    <t>Nuevos 0.9-1.1M uds a 24-30k€. Ocasión 1.8-2.2M uds a 11-17k€. ~3M transacciones totales.</t>
  </si>
  <si>
    <t>Base instalada 1.2-1.4B. Valor medio actual $180 (antiguos) a $450 (modelos recientes).</t>
  </si>
  <si>
    <t>~225k puntos de luz. Potencia 50W LED vs 110W mixta. Noche 9-14h. Precio kWh 0.14-0.25€.</t>
  </si>
  <si>
    <t>Constante: Área A4 (0,21m x 0,297m = 0,06237 m²). Variable: Área campo de fútbol (mínima reglamentaria 4.050 m² vs máxima 10.800 m²). Cálculo: Área total / 0,06237. El p05 asume campo mínimo sin solapamiento; el p95 asume campo máximo y factor de ineficiencia/solapamiento.</t>
  </si>
  <si>
    <t>Superficie Península ~600.000 km² (6x10^11 m²). Basado en estudios recientes (Schultheiss et al. 2022) la densidad media global es ~130 hormigas/m². P05 asume biomas áridos/urbanos (50 hormigas/m²); P95 asume alta densidad forestal mediterránea (500 hormigas/m²). El intervalo centra la media global (~80 billones).</t>
  </si>
  <si>
    <t>Estimación basada en área superficial corporal (2.000 a 3.500 cm²) y densidad capilar. Los gatos poseen folículos compuestos (múltiples pelos por poro). Densidad calculada entre 2.500 pelos/cm² (pelaje corto/simple) y 9.500 pelos/cm² (pelaje doble denso). Cociente ~6.</t>
  </si>
  <si>
    <t>Basado en distancia ~5.800km y tiempo de vuelo de 7.5h a 9h (afectado por vientos del oeste y esperas). Consumo horario de 11 a 14 toneladas según carga (pax/carga) convertido a litros con densidad Jet A-1 (~0,8 kg/L).</t>
  </si>
  <si>
    <t>Cálculo basado en oferta (capacidad de locales) y demanda (población). Área: Comunidad de Madrid (~6.5M hab). Oferta: ~1.800 puntos de venta (Cadenas tipo Telepizza/Dominos + Restaurantes en Apps). Throughput bajo: 25 pizzas/local (45k total). Throughput alto: 110 pizzas/local en 3h (200k total). Validación por demanda: 1 pizza de delivery por cada 30-140 habitantes.</t>
  </si>
  <si>
    <t>Cálculo basado en el parque de viviendas (18.5M principales para p05 vs 26M totales incluyendo vacacionales para p95) multiplicado por la densidad de puntos de luz (15 bombillas en apartamentos sencillos vs 40 en unifamiliares/pisos modernos con iluminación empotrada). Ratio ~3.9.</t>
  </si>
  <si>
    <t>Cálculo basado en la velocidad de conversación (110-160 palabras/min) y el tiempo neto de habla activa (de 45 min a 4 horas). La varianza es alta (cociente 7) debido a factores profesionales y de personalidad.</t>
  </si>
  <si>
    <t>Modelo: Volumen playa (Largo: 1-1.8km, Ancho: 80-150m, Profundidad activa: 2-4m) × Densidad empaquetamiento (0.6) ÷ Volumen grano (Diam: 0.25mm a 0.5mm). Un m³ contiene entre 8 mil millones y 125 mil millones de granos dependiendo de la granulometría.</t>
  </si>
  <si>
    <t>Estimación basada en la fórmula física 'Peso (kg) x Distancia (km) x Eficiencia'. La distancia es fija (42.2 km). La variable crítica es el peso del corredor: p05 corresponde a una atleta de élite ligera (~48kg) con alta eficiencia biomecánica (0.9 kcal/kg/km). El p95 corresponde a un corredor amateur pesado (~110kg) con eficiencia estándar o baja (~1.05 kcal/kg/km).</t>
  </si>
  <si>
    <t>Estimación derivada del volumen diario reportado por Meta (~140 mil millones). p05 calcula un día de baja actividad (100B / 86.400s). p95 contempla picos de tráfico y crecimiento de usuarios (215B / 86.400s). Cociente ~2.2.</t>
  </si>
  <si>
    <t>Modelo: (Lactancias útiles) × (Litros por lactancia). p05 representa sistemas extensivos o vacas con descarte temprano (2.5 lactancias × 4,000 L/lactancia). p95 representa vacas élite tipo Holstein en sistemas intensivos con buena longevidad (5 lactancias × 11,000 L/lactancia). El promedio industrial suele rondar los 25,000-30,000 litros.</t>
  </si>
  <si>
    <t>Variables: Peso elefante africano (3.000kg hembra pequeña a 7.000kg macho grande) y peso hormiga común (1,5mg especies pequeñas a 5mg especies jardín grandes). Cálculo p05: 3x10^9 mg / 5 mg. Cálculo p95: 7x10^9 mg / 1,5 mg. Cociente ~7.8.</t>
  </si>
  <si>
    <t>Cálculo basado en el parque de turismos (24-28M) y la tasa de reposición. Variables: vida útil del neumático (40k-60k km), kilometraje anual medio (10k-15k km) y antigüedad del parque. Esto implica cambiar un juego completo cada 3.5 a 6 años, generando entre 0.7 y 1.2 neumáticos fuera de uso por vehículo al año.</t>
  </si>
  <si>
    <t>Cálculo basado en la métrica estándar de la industria (aprox. 500h de video/minuto). Intervalo definido por tasas de 400h/min a 700h/min para cubrir variaciones de flujo y crecimiento reciente. Fórmula: Tasa × 60 (conversión a min contenido) × 60 (ventana temporal 1h).</t>
  </si>
  <si>
    <t>Aunque la operación matemática ideal es exacta (100M / 0,05 = 2.000.000.000), el intervalo refleja la incertidumbre implícita en la cifra '100 millones' como número redondeado (±5%) o posibles fluctuaciones de divisas en fichajes internacionales.</t>
  </si>
  <si>
    <t>Estimación derivada de 3 variables: 1) Ratio de reducción Néctar:Miel (de 3:1 a 5:1 por evaporación). 2) Capacidad de carga del buche melario (0,02g a 0,05g), implicando entre 60.000 y 200.000 viajes totales. 3) Distancia media de vuelo y forrajeo por viaje (0,6 km a 1,5 km). El cociente resultante es ~5.5.</t>
  </si>
  <si>
    <t>Área total estimada en 118-125 hectáreas. Se descuenta un 30-40% correspondiente al Estanque Grande, Paseo de Coches, edificaciones y caminos de grava. Área verde efectiva: ~80 ha. Densidad baja (p05): espaciado amplio de 8-9m (~140 árboles/ha). Densidad alta (p95): zonas boscosas y alineaciones jóvenes con espaciado de 5-6m (~330 árboles/ha). Dato oficial de referencia suele situarse en ~19.000 ejemplares.</t>
  </si>
  <si>
    <t>Estimación basada en población (600-750M), consumo per cápita (40-100 latas/año) y tasa de reciclaje de aluminio (60%-85%). Se divide el volumen anual estimado entre 365.</t>
  </si>
  <si>
    <t>Estimación basada en escalado alométrico respecto al adulto (Ref: Bianconi et al., ~3,7x10^13 células en 70kg). Peso neonato (2,5-4,5kg) y densidad celular (~5-7x10^11 células/kg).</t>
  </si>
  <si>
    <t>Área Sevilla (~140 km²) x Precipitación en 10 min (2-15mm) / Volumen gota. Tamaño gota varía cúbicamente con el radio (1mm³ a 10mm³), generando factor de incertidumbre de dos órdenes de magnitud.</t>
  </si>
  <si>
    <t>Cálculo basado en relación cúbica de radios (V ∝ r³). Radio terrestre ~6370km, lunar ~1730km, relación ~3.67. Al cubo: 3.67³ ≈ 49.3.</t>
  </si>
  <si>
    <t>Población adulta (~40M). Tasa fumadores: 19%-26%. Consumo medio diario: 11-16 cigarrillos. Incluye tabaco de liar y contrabando.</t>
  </si>
  <si>
    <t>Desglose: Longitud por uso (30cm a 60cm; estándar es 45cm) × 365 días × Años de uso efectivo (70 a 85 años, descontando infancia temprana). Rango estimado: 0.3m*365*70 ≈ 7.6k hasta 0.6m*365*85 ≈ 18.6k.</t>
  </si>
  <si>
    <t>Basado en densidad sacarosa (~1.59 g/cm³) y granulometría del azúcar. Peso por cristal entre 0.13mg (fino) y 0.4mg (grueso).</t>
  </si>
  <si>
    <t>Cálculo basado en distancia fija 180.000m / circunferencia rueda 700c (2,05-2,15m). Intervalo estrecho por estandarización del equipamiento.</t>
  </si>
  <si>
    <t>Basado en volumen anual Mercamadrid (~3.4M toneladas). 280-300 días operativos, ratio fruta/verdura 40-60%, peso medio por unidad 0.11-0.25kg.</t>
  </si>
  <si>
    <t>Inverso probabilidad conjunta: pelirrojos 1-2% infantil, edad &lt;10 ~7.5%, piso 12+ 0.3-0.9% (edificios gran altura).</t>
  </si>
  <si>
    <t>Piscinas España (1.0-1.6M), superficie media 20-35m², tasa evaporación agosto 4-10mm/día. 1mm = 1L/m².</t>
  </si>
  <si>
    <t>Municipios &lt;1.000 hab ~1.5M (3%). Envejecimiento rural &gt;30% tienen &gt;70 años. Frecuencia María en esa generación 10-25%.</t>
  </si>
  <si>
    <t>Italia 60M. % espagueti vs otras pastas domingo (8-25%), ración 80-110g, longitud por kg 270-400m según grosor.</t>
  </si>
  <si>
    <t>Probabilidad compuesta: zurdera 8-12%, altura &gt;1.90m 0.4-0.9% población total, gafas 45-60%. Inversa de P conjunta.</t>
  </si>
  <si>
    <t>Población palomas Barcelona 85k-270k, peso promedio 0.25-0.37kg. Dificultad de censar aves voladoras.</t>
  </si>
  <si>
    <t>García ~3.1% 1er apellido, Madrid 7-14%, perro 15-30%. Valor central ~1/900.</t>
  </si>
  <si>
    <t>llm_comment</t>
  </si>
  <si>
    <t>¿Cuántas horas de sueño acumuladas tiene una persona al cumplir los 80 años?</t>
  </si>
  <si>
    <t>¿Cuántas piezas de LEGO existen actualmente en el mundo (fabricadas desde su inicio)?</t>
  </si>
  <si>
    <t>¿Cuántos litros de agua se evaporan de una piscina olímpica en un día caluroso de agosto?</t>
  </si>
  <si>
    <t>¿Cuántas fotos digitales hay guardadas en la nube por cada habitante del planeta?</t>
  </si>
  <si>
    <t>¿Cuántas baldosas hay en las aceras de una calle principal de 1 kilómetro de largo?</t>
  </si>
  <si>
    <t>¿Cuántas abejas viven en una colmena típica durante la primavera?</t>
  </si>
  <si>
    <t>¿Cuántas tazas de té se beben en el Reino Unido durante una tarde de domingo?</t>
  </si>
  <si>
    <t>¿Cuántos pasos hay que dar de media para subir al Everest partiendo desde el campamento base?</t>
  </si>
  <si>
    <t>¿Cuántos tornillos y remaches tiene un avión Boeing 747?</t>
  </si>
  <si>
    <t>¿Cuántas búsquedas en Google se realizan desde España durante los 90 minutos de una final de Champions?</t>
  </si>
  <si>
    <t>¿Cuántas tarjetas de crédito caben (en volumen) dentro de una cabina telefónica clásica?</t>
  </si>
  <si>
    <t>¿Cuántos átomos de hidrógeno hay en un vaso de agua de 200 ml?</t>
  </si>
  <si>
    <t>¿Cuántos kilos de basura genera un festival de música multitudinario durante tres días?</t>
  </si>
  <si>
    <t>¿Cuántas veces se podría escribir "El Quijote" completo con la tinta de un bolígrafo BIC convencional?</t>
  </si>
  <si>
    <t>¿Cuántas moscas hay en una granja de vacas de tamaño medio en verano?</t>
  </si>
  <si>
    <t>Uno de cada _________ coches que circulan por Madrid es de color blanco.</t>
  </si>
  <si>
    <t>¿Cuántos kilómetros de vasos de plástico se formarían si pusiéramos en fila todos los usados en un gran concierto?</t>
  </si>
  <si>
    <t>¿Cuántas respiraciones da un perro de raza media a lo largo de sus 12 años de vida?</t>
  </si>
  <si>
    <t>¿Cuántos paneles solares se necesitarían para cubrir toda la demanda eléctrica de España?</t>
  </si>
  <si>
    <t>¿Cuántos litros de pintura se necesitaron para pintar el exterior de la Casa Blanca?</t>
  </si>
  <si>
    <t>¿Cuántas personas están volando en un avión en este preciso instante en todo el planeta?</t>
  </si>
  <si>
    <t>¿Cuántas palomitas de maíz caben en el habitáculo de un autobús escolar?</t>
  </si>
  <si>
    <t>¿Cuántos granos de azúcar hay en un sobre individual de 8 gramos?</t>
  </si>
  <si>
    <t>¿Cuántos metros crece el pelo de toda la población de una ciudad de 100.000 habitantes en un mes?</t>
  </si>
  <si>
    <t>¿Cuántas llaves de casa hay perdidas u olvidadas en el fondo del mar?</t>
  </si>
  <si>
    <t>¿Cuántas veces se ha reproducido el video más visto de YouTube por cada persona viva en la Tierra?</t>
  </si>
  <si>
    <t>¿Cuántas veces daría la vuelta al mundo el cableado eléctrico de una ciudad como Barcelona?</t>
  </si>
  <si>
    <t>¿Cuántos libros físicos hay en todas las bibliotecas públicas de España juntas?</t>
  </si>
  <si>
    <t>¿Cuántas hamburguesas vende McDonald's en todo el mundo en un solo minuto?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</si>
</sst>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1F1F1F"/>
      <name val="&quot;Google Sans Text&quot;"/>
    </font>
    <font>
      <b/>
      <color theme="1"/>
      <name val="Arial"/>
      <scheme val="minor"/>
    </font>
    <font>
      <color rgb="FF1F1F1F"/>
      <name val="&quot;Google Sans Text&quot;"/>
    </font>
    <font>
      <color theme="1"/>
      <name val="Arial"/>
      <scheme val="minor"/>
    </font>
    <font>
      <b/>
      <color rgb="FF000000"/>
      <name val="Arial"/>
      <scheme val="minor"/>
    </font>
    <font>
      <color rgb="FF000000"/>
      <name val="Arial"/>
      <scheme val="minor"/>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readingOrder="0"/>
    </xf>
    <xf borderId="0" fillId="0" fontId="2" numFmtId="0" xfId="0" applyAlignment="1" applyFont="1">
      <alignment readingOrder="0"/>
    </xf>
    <xf borderId="0" fillId="0" fontId="4" numFmtId="0" xfId="0" applyAlignment="1" applyFont="1">
      <alignment readingOrder="0"/>
    </xf>
    <xf borderId="0" fillId="0" fontId="5" numFmtId="0" xfId="0" applyAlignment="1" applyFont="1">
      <alignment horizontal="left" readingOrder="0" vertical="bottom"/>
    </xf>
    <xf borderId="0" fillId="0" fontId="5" numFmtId="1" xfId="0" applyAlignment="1" applyFont="1" applyNumberFormat="1">
      <alignment horizontal="right" readingOrder="0" vertical="bottom"/>
    </xf>
    <xf borderId="0" fillId="0" fontId="5" numFmtId="4" xfId="0" applyAlignment="1" applyFont="1" applyNumberFormat="1">
      <alignment horizontal="left" readingOrder="0" vertical="bottom"/>
    </xf>
    <xf borderId="0" fillId="0" fontId="2" numFmtId="0" xfId="0" applyAlignment="1" applyFont="1">
      <alignment horizontal="left" readingOrder="0"/>
    </xf>
    <xf borderId="0" fillId="2" fontId="4" numFmtId="0" xfId="0" applyAlignment="1" applyFill="1" applyFont="1">
      <alignment readingOrder="0"/>
    </xf>
    <xf borderId="0" fillId="2" fontId="6" numFmtId="1" xfId="0" applyAlignment="1" applyFont="1" applyNumberFormat="1">
      <alignment horizontal="right" readingOrder="0" vertical="bottom"/>
    </xf>
    <xf borderId="0" fillId="2" fontId="6" numFmtId="4" xfId="0" applyAlignment="1" applyFont="1" applyNumberFormat="1">
      <alignment horizontal="left" readingOrder="0" vertical="bottom"/>
    </xf>
    <xf borderId="0" fillId="2" fontId="4" numFmtId="0" xfId="0" applyAlignment="1" applyFont="1">
      <alignment horizontal="right" readingOrder="0"/>
    </xf>
    <xf borderId="0" fillId="2" fontId="4" numFmtId="0" xfId="0" applyFont="1"/>
    <xf borderId="0" fillId="2" fontId="3" numFmtId="0" xfId="0" applyAlignment="1" applyFont="1">
      <alignment readingOrder="0"/>
    </xf>
    <xf borderId="0" fillId="2" fontId="4" numFmtId="0" xfId="0" applyFont="1"/>
    <xf borderId="0" fillId="2" fontId="1" numFmtId="0" xfId="0" applyAlignment="1" applyFont="1">
      <alignment readingOrder="0"/>
    </xf>
    <xf borderId="0" fillId="0" fontId="6" numFmtId="1" xfId="0" applyAlignment="1" applyFont="1" applyNumberFormat="1">
      <alignment horizontal="right" readingOrder="0" vertical="bottom"/>
    </xf>
    <xf borderId="0" fillId="0" fontId="6" numFmtId="4" xfId="0" applyAlignment="1" applyFont="1" applyNumberFormat="1">
      <alignment horizontal="left" readingOrder="0" vertical="bottom"/>
    </xf>
    <xf borderId="0" fillId="0" fontId="4" numFmtId="0" xfId="0" applyAlignment="1" applyFont="1">
      <alignment horizontal="right" readingOrder="0"/>
    </xf>
    <xf borderId="0" fillId="0" fontId="4" numFmtId="0" xfId="0" applyFont="1"/>
    <xf borderId="0" fillId="0" fontId="6" numFmtId="0" xfId="0" applyAlignment="1" applyFont="1">
      <alignment horizontal="right" readingOrder="0" vertical="bottom"/>
    </xf>
    <xf borderId="0" fillId="0" fontId="6" numFmtId="0" xfId="0" applyAlignment="1" applyFont="1">
      <alignment horizontal="left" readingOrder="0" vertical="bottom"/>
    </xf>
    <xf borderId="0" fillId="0" fontId="4" numFmtId="1" xfId="0" applyAlignment="1" applyFont="1" applyNumberFormat="1">
      <alignment horizontal="right" readingOrder="0"/>
    </xf>
    <xf borderId="0" fillId="0" fontId="4" numFmtId="4" xfId="0" applyAlignment="1" applyFont="1" applyNumberFormat="1">
      <alignment readingOrder="0"/>
    </xf>
    <xf borderId="0" fillId="0" fontId="4" numFmtId="1" xfId="0" applyAlignment="1" applyFont="1" applyNumberFormat="1">
      <alignment horizontal="right"/>
    </xf>
    <xf borderId="0" fillId="0" fontId="4"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s>
  <sheetData>
    <row r="1">
      <c r="A1" s="1" t="s">
        <v>0</v>
      </c>
      <c r="B1" s="1"/>
      <c r="C1" s="1"/>
      <c r="D1" s="2"/>
      <c r="E1" s="2"/>
      <c r="F1" s="2"/>
      <c r="G1" s="2"/>
      <c r="H1" s="2"/>
      <c r="I1" s="2"/>
      <c r="J1" s="2"/>
      <c r="K1" s="2"/>
      <c r="L1" s="2"/>
      <c r="M1" s="2"/>
      <c r="N1" s="2"/>
      <c r="O1" s="2"/>
      <c r="P1" s="2"/>
      <c r="Q1" s="2"/>
      <c r="R1" s="2"/>
      <c r="S1" s="2"/>
      <c r="T1" s="2"/>
      <c r="U1" s="2"/>
      <c r="V1" s="2"/>
      <c r="W1" s="2"/>
      <c r="X1" s="2"/>
      <c r="Y1" s="2"/>
      <c r="Z1" s="2"/>
    </row>
    <row r="2">
      <c r="A2" s="3" t="s">
        <v>1</v>
      </c>
      <c r="B2" s="3"/>
      <c r="C2" s="3"/>
    </row>
    <row r="3">
      <c r="A3" s="3" t="s">
        <v>2</v>
      </c>
      <c r="C3" s="3"/>
    </row>
    <row r="4">
      <c r="A4" s="3" t="s">
        <v>3</v>
      </c>
      <c r="C4" s="3"/>
    </row>
    <row r="5">
      <c r="A5" s="3" t="s">
        <v>4</v>
      </c>
      <c r="C5" s="3"/>
    </row>
    <row r="6">
      <c r="A6" s="3" t="s">
        <v>5</v>
      </c>
      <c r="B6" s="3"/>
      <c r="C6" s="3"/>
    </row>
    <row r="7">
      <c r="A7" s="3" t="s">
        <v>6</v>
      </c>
      <c r="C7" s="3"/>
    </row>
    <row r="8">
      <c r="A8" s="3" t="s">
        <v>7</v>
      </c>
      <c r="B8" s="3"/>
      <c r="C8" s="3"/>
    </row>
    <row r="9">
      <c r="A9" s="3" t="s">
        <v>8</v>
      </c>
      <c r="B9" s="3"/>
      <c r="C9" s="3"/>
    </row>
    <row r="10">
      <c r="A10" s="3"/>
      <c r="B10" s="3"/>
      <c r="C10" s="3"/>
    </row>
    <row r="11">
      <c r="A11" s="3"/>
      <c r="B11" s="3"/>
      <c r="C11" s="3"/>
    </row>
    <row r="12">
      <c r="A12" s="3"/>
      <c r="B12" s="3"/>
      <c r="C12" s="3"/>
    </row>
    <row r="13">
      <c r="A13" s="3"/>
      <c r="B13" s="3"/>
      <c r="C13" s="3"/>
    </row>
    <row r="14">
      <c r="A14" s="3"/>
      <c r="B14" s="3"/>
      <c r="C14" s="3"/>
    </row>
    <row r="15">
      <c r="A15" s="3"/>
      <c r="B15" s="3"/>
      <c r="C15" s="3"/>
    </row>
    <row r="16">
      <c r="A16" s="3"/>
      <c r="B16" s="3"/>
      <c r="C16" s="3"/>
    </row>
    <row r="17">
      <c r="A17" s="3"/>
      <c r="B17" s="3"/>
      <c r="C17" s="3"/>
    </row>
    <row r="18">
      <c r="A18" s="3"/>
      <c r="B18" s="3"/>
      <c r="C18" s="3"/>
    </row>
    <row r="19">
      <c r="A19" s="3"/>
      <c r="B19" s="3"/>
      <c r="C19" s="3"/>
    </row>
    <row r="20">
      <c r="A20" s="3"/>
      <c r="B20" s="3"/>
      <c r="C20" s="3"/>
    </row>
    <row r="21">
      <c r="A21" s="3"/>
      <c r="B21" s="3"/>
      <c r="C21" s="3"/>
    </row>
    <row r="22">
      <c r="A22" s="3"/>
      <c r="B22" s="3"/>
      <c r="C22" s="3"/>
    </row>
    <row r="23">
      <c r="A23" s="3"/>
      <c r="B23" s="3"/>
      <c r="C23" s="3"/>
    </row>
    <row r="24">
      <c r="A24" s="3"/>
      <c r="B24" s="3"/>
      <c r="C24" s="3"/>
    </row>
    <row r="25">
      <c r="A25" s="3"/>
      <c r="B25" s="3"/>
      <c r="C25" s="3"/>
    </row>
    <row r="26">
      <c r="A26" s="3"/>
      <c r="B26" s="3"/>
      <c r="C26" s="3"/>
    </row>
    <row r="27">
      <c r="A27" s="3"/>
      <c r="B27" s="3"/>
      <c r="C27" s="3"/>
    </row>
    <row r="28">
      <c r="A28" s="3"/>
      <c r="B28" s="3"/>
      <c r="C28" s="3"/>
    </row>
    <row r="29">
      <c r="A29" s="3"/>
      <c r="B29" s="3"/>
      <c r="C29" s="3"/>
    </row>
    <row r="30">
      <c r="A30" s="3"/>
      <c r="B30" s="3"/>
      <c r="C30" s="3"/>
    </row>
    <row r="31">
      <c r="A31" s="3"/>
      <c r="B31" s="3"/>
      <c r="C31" s="3"/>
    </row>
    <row r="32">
      <c r="A32" s="3"/>
      <c r="B32" s="3"/>
      <c r="C32" s="3"/>
    </row>
    <row r="33">
      <c r="A33" s="3"/>
      <c r="B33" s="3"/>
      <c r="C33"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9</v>
      </c>
      <c r="C1" s="4" t="s">
        <v>10</v>
      </c>
    </row>
    <row r="2">
      <c r="A2" s="3" t="s">
        <v>1</v>
      </c>
      <c r="B2" s="3">
        <v>1.0</v>
      </c>
      <c r="C2" s="5">
        <v>1.0</v>
      </c>
    </row>
    <row r="3">
      <c r="A3" s="3" t="s">
        <v>1</v>
      </c>
      <c r="B3" s="3">
        <v>2.0</v>
      </c>
      <c r="C3" s="5">
        <v>2.0</v>
      </c>
    </row>
    <row r="4">
      <c r="A4" s="3" t="s">
        <v>1</v>
      </c>
      <c r="B4" s="3">
        <v>3.0</v>
      </c>
      <c r="C4" s="5">
        <v>3.0</v>
      </c>
    </row>
    <row r="5">
      <c r="A5" s="3" t="s">
        <v>1</v>
      </c>
      <c r="B5" s="3">
        <v>4.0</v>
      </c>
      <c r="C5" s="5">
        <v>4.0</v>
      </c>
    </row>
    <row r="6">
      <c r="A6" s="3" t="s">
        <v>2</v>
      </c>
      <c r="B6" s="3">
        <v>1.0</v>
      </c>
      <c r="C6" s="5">
        <v>5.0</v>
      </c>
    </row>
    <row r="7">
      <c r="A7" s="3" t="s">
        <v>2</v>
      </c>
      <c r="B7" s="3">
        <v>2.0</v>
      </c>
      <c r="C7" s="5">
        <v>6.0</v>
      </c>
    </row>
    <row r="8">
      <c r="A8" s="3" t="s">
        <v>2</v>
      </c>
      <c r="B8" s="3">
        <v>3.0</v>
      </c>
      <c r="C8" s="5">
        <v>7.0</v>
      </c>
    </row>
    <row r="9">
      <c r="A9" s="3" t="s">
        <v>2</v>
      </c>
      <c r="B9" s="3">
        <v>4.0</v>
      </c>
      <c r="C9" s="5">
        <v>8.0</v>
      </c>
    </row>
    <row r="10">
      <c r="A10" s="3" t="s">
        <v>3</v>
      </c>
      <c r="B10" s="3">
        <v>1.0</v>
      </c>
      <c r="C10" s="5">
        <v>9.0</v>
      </c>
    </row>
    <row r="11">
      <c r="A11" s="3" t="s">
        <v>3</v>
      </c>
      <c r="B11" s="3">
        <v>2.0</v>
      </c>
      <c r="C11" s="5">
        <v>10.0</v>
      </c>
    </row>
    <row r="12">
      <c r="A12" s="3" t="s">
        <v>3</v>
      </c>
      <c r="B12" s="3">
        <v>3.0</v>
      </c>
      <c r="C12" s="5">
        <v>11.0</v>
      </c>
    </row>
    <row r="13">
      <c r="A13" s="3" t="s">
        <v>3</v>
      </c>
      <c r="B13" s="3">
        <v>4.0</v>
      </c>
      <c r="C13" s="5">
        <v>12.0</v>
      </c>
    </row>
    <row r="14">
      <c r="A14" s="3" t="s">
        <v>4</v>
      </c>
      <c r="B14" s="3">
        <v>1.0</v>
      </c>
      <c r="C14" s="5">
        <v>13.0</v>
      </c>
    </row>
    <row r="15">
      <c r="A15" s="3" t="s">
        <v>4</v>
      </c>
      <c r="B15" s="3">
        <v>2.0</v>
      </c>
      <c r="C15" s="5">
        <v>14.0</v>
      </c>
    </row>
    <row r="16">
      <c r="A16" s="3" t="s">
        <v>4</v>
      </c>
      <c r="B16" s="3">
        <v>3.0</v>
      </c>
      <c r="C16" s="5">
        <v>15.0</v>
      </c>
    </row>
    <row r="17">
      <c r="A17" s="3" t="s">
        <v>4</v>
      </c>
      <c r="B17" s="3">
        <v>4.0</v>
      </c>
      <c r="C17" s="5">
        <v>16.0</v>
      </c>
    </row>
    <row r="18">
      <c r="A18" s="3" t="s">
        <v>5</v>
      </c>
      <c r="B18" s="3">
        <v>1.0</v>
      </c>
      <c r="C18" s="5">
        <v>17.0</v>
      </c>
    </row>
    <row r="19">
      <c r="A19" s="3" t="s">
        <v>5</v>
      </c>
      <c r="B19" s="3">
        <v>2.0</v>
      </c>
      <c r="C19" s="5">
        <v>18.0</v>
      </c>
    </row>
    <row r="20">
      <c r="A20" s="3" t="s">
        <v>5</v>
      </c>
      <c r="B20" s="3">
        <v>3.0</v>
      </c>
      <c r="C20" s="5">
        <v>19.0</v>
      </c>
    </row>
    <row r="21">
      <c r="A21" s="3" t="s">
        <v>5</v>
      </c>
      <c r="B21" s="3">
        <v>4.0</v>
      </c>
      <c r="C21" s="5">
        <v>20.0</v>
      </c>
    </row>
    <row r="22">
      <c r="A22" s="3" t="s">
        <v>6</v>
      </c>
      <c r="B22" s="3">
        <v>1.0</v>
      </c>
      <c r="C22" s="5">
        <v>21.0</v>
      </c>
    </row>
    <row r="23">
      <c r="A23" s="3" t="s">
        <v>6</v>
      </c>
      <c r="B23" s="3">
        <v>2.0</v>
      </c>
      <c r="C23" s="5">
        <v>22.0</v>
      </c>
    </row>
    <row r="24">
      <c r="A24" s="3" t="s">
        <v>6</v>
      </c>
      <c r="B24" s="3">
        <v>3.0</v>
      </c>
      <c r="C24" s="5">
        <v>23.0</v>
      </c>
    </row>
    <row r="25">
      <c r="A25" s="3" t="s">
        <v>6</v>
      </c>
      <c r="B25" s="3">
        <v>4.0</v>
      </c>
      <c r="C25" s="5">
        <v>24.0</v>
      </c>
    </row>
    <row r="26">
      <c r="A26" s="3" t="s">
        <v>7</v>
      </c>
      <c r="B26" s="3">
        <v>1.0</v>
      </c>
      <c r="C26" s="5">
        <v>25.0</v>
      </c>
    </row>
    <row r="27">
      <c r="A27" s="3" t="s">
        <v>7</v>
      </c>
      <c r="B27" s="3">
        <v>2.0</v>
      </c>
      <c r="C27" s="5">
        <v>26.0</v>
      </c>
    </row>
    <row r="28">
      <c r="A28" s="3" t="s">
        <v>7</v>
      </c>
      <c r="B28" s="3">
        <v>3.0</v>
      </c>
      <c r="C28" s="5">
        <v>27.0</v>
      </c>
    </row>
    <row r="29">
      <c r="A29" s="3" t="s">
        <v>7</v>
      </c>
      <c r="B29" s="3">
        <v>4.0</v>
      </c>
      <c r="C29" s="5">
        <v>28.0</v>
      </c>
    </row>
    <row r="30">
      <c r="A30" s="3" t="s">
        <v>8</v>
      </c>
      <c r="B30" s="3">
        <v>1.0</v>
      </c>
      <c r="C30" s="5">
        <v>29.0</v>
      </c>
    </row>
    <row r="31">
      <c r="A31" s="3" t="s">
        <v>8</v>
      </c>
      <c r="B31" s="3">
        <v>2.0</v>
      </c>
      <c r="C31" s="5">
        <v>30.0</v>
      </c>
    </row>
    <row r="32">
      <c r="A32" s="3" t="s">
        <v>8</v>
      </c>
      <c r="B32" s="3">
        <v>3.0</v>
      </c>
      <c r="C32" s="5">
        <v>31.0</v>
      </c>
    </row>
    <row r="33">
      <c r="A33" s="3" t="s">
        <v>8</v>
      </c>
      <c r="B33" s="3">
        <v>4.0</v>
      </c>
      <c r="C33" s="5">
        <v>32.0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4" width="13.75"/>
    <col customWidth="1" min="8" max="8" width="18.5"/>
  </cols>
  <sheetData>
    <row r="1">
      <c r="A1" s="6" t="s">
        <v>10</v>
      </c>
      <c r="B1" s="7" t="s">
        <v>11</v>
      </c>
      <c r="C1" s="7" t="s">
        <v>12</v>
      </c>
      <c r="D1" s="8" t="s">
        <v>13</v>
      </c>
      <c r="E1" s="9" t="s">
        <v>14</v>
      </c>
      <c r="F1" s="4" t="s">
        <v>15</v>
      </c>
      <c r="G1" s="6" t="s">
        <v>16</v>
      </c>
      <c r="H1" s="6" t="s">
        <v>17</v>
      </c>
      <c r="I1" s="6" t="s">
        <v>18</v>
      </c>
      <c r="O1" s="3"/>
      <c r="P1" s="3"/>
    </row>
    <row r="2">
      <c r="A2" s="10">
        <v>1.0</v>
      </c>
      <c r="B2" s="11">
        <v>40000.0</v>
      </c>
      <c r="C2" s="11">
        <v>60000.0</v>
      </c>
      <c r="D2" s="12">
        <f t="shared" ref="D2:D32" si="1">C2/B2</f>
        <v>1.5</v>
      </c>
      <c r="E2" s="13">
        <v>975.0</v>
      </c>
      <c r="F2" s="14">
        <f t="shared" ref="F2:F32" si="2">ROUND(_xlfn.PERCENTRANK.INC(E:E, E2)*100, 1)</f>
        <v>31.1</v>
      </c>
      <c r="G2" s="15">
        <f t="shared" ref="G2:G32" si="3">IFS(F2&gt;75, 4, F2&gt;50, 3, F2&gt;25, 2, TRUE, 1)</f>
        <v>2</v>
      </c>
      <c r="H2" s="15">
        <v>2.0</v>
      </c>
      <c r="I2" s="15" t="s">
        <v>19</v>
      </c>
      <c r="J2" s="16"/>
      <c r="K2" s="16"/>
      <c r="L2" s="16"/>
      <c r="M2" s="16"/>
      <c r="N2" s="16"/>
      <c r="O2" s="17"/>
      <c r="P2" s="15"/>
      <c r="Q2" s="16"/>
      <c r="R2" s="16"/>
      <c r="S2" s="16"/>
      <c r="T2" s="16"/>
      <c r="U2" s="16"/>
      <c r="V2" s="16"/>
      <c r="W2" s="16"/>
      <c r="X2" s="16"/>
      <c r="Y2" s="16"/>
      <c r="Z2" s="16"/>
      <c r="AA2" s="16"/>
      <c r="AB2" s="16"/>
      <c r="AC2" s="16"/>
      <c r="AD2" s="16"/>
      <c r="AE2" s="16"/>
      <c r="AF2" s="16"/>
      <c r="AG2" s="16"/>
      <c r="AH2" s="16"/>
    </row>
    <row r="3">
      <c r="A3" s="10">
        <v>2.0</v>
      </c>
      <c r="B3" s="11">
        <v>2000000.0</v>
      </c>
      <c r="C3" s="11">
        <v>5000000.0</v>
      </c>
      <c r="D3" s="12">
        <f t="shared" si="1"/>
        <v>2.5</v>
      </c>
      <c r="E3" s="13">
        <v>1081.0</v>
      </c>
      <c r="F3" s="14">
        <f t="shared" si="2"/>
        <v>75.4</v>
      </c>
      <c r="G3" s="15">
        <f t="shared" si="3"/>
        <v>4</v>
      </c>
      <c r="H3" s="15">
        <v>3.0</v>
      </c>
      <c r="I3" s="15" t="s">
        <v>20</v>
      </c>
      <c r="J3" s="16"/>
      <c r="K3" s="16"/>
      <c r="L3" s="16"/>
      <c r="M3" s="16"/>
      <c r="N3" s="16"/>
      <c r="O3" s="17"/>
      <c r="P3" s="15"/>
      <c r="Q3" s="16"/>
      <c r="R3" s="16"/>
      <c r="S3" s="16"/>
      <c r="T3" s="16"/>
      <c r="U3" s="16"/>
      <c r="V3" s="16"/>
      <c r="W3" s="16"/>
      <c r="X3" s="16"/>
      <c r="Y3" s="16"/>
      <c r="Z3" s="16"/>
      <c r="AA3" s="16"/>
      <c r="AB3" s="16"/>
      <c r="AC3" s="16"/>
      <c r="AD3" s="16"/>
      <c r="AE3" s="16"/>
      <c r="AF3" s="16"/>
      <c r="AG3" s="16"/>
      <c r="AH3" s="16"/>
    </row>
    <row r="4">
      <c r="A4" s="10">
        <v>3.0</v>
      </c>
      <c r="B4" s="11">
        <v>5.0E7</v>
      </c>
      <c r="C4" s="11">
        <v>1.2E8</v>
      </c>
      <c r="D4" s="12">
        <f t="shared" si="1"/>
        <v>2.4</v>
      </c>
      <c r="E4" s="13">
        <v>1102.0</v>
      </c>
      <c r="F4" s="14">
        <f t="shared" si="2"/>
        <v>83.6</v>
      </c>
      <c r="G4" s="15">
        <f t="shared" si="3"/>
        <v>4</v>
      </c>
      <c r="H4" s="15">
        <v>3.0</v>
      </c>
      <c r="I4" s="15" t="s">
        <v>21</v>
      </c>
      <c r="J4" s="16"/>
      <c r="K4" s="16"/>
      <c r="L4" s="16"/>
      <c r="M4" s="16"/>
      <c r="N4" s="16"/>
      <c r="O4" s="17"/>
      <c r="P4" s="15"/>
      <c r="Q4" s="16"/>
      <c r="R4" s="16"/>
      <c r="S4" s="16"/>
      <c r="T4" s="16"/>
      <c r="U4" s="16"/>
      <c r="V4" s="16"/>
      <c r="W4" s="16"/>
      <c r="X4" s="16"/>
      <c r="Y4" s="16"/>
      <c r="Z4" s="16"/>
      <c r="AA4" s="16"/>
      <c r="AB4" s="16"/>
      <c r="AC4" s="16"/>
      <c r="AD4" s="16"/>
      <c r="AE4" s="16"/>
      <c r="AF4" s="16"/>
      <c r="AG4" s="16"/>
      <c r="AH4" s="16"/>
    </row>
    <row r="5">
      <c r="A5" s="10">
        <v>4.0</v>
      </c>
      <c r="B5" s="11">
        <v>5.0E9</v>
      </c>
      <c r="C5" s="11">
        <v>1.0E10</v>
      </c>
      <c r="D5" s="12">
        <f t="shared" si="1"/>
        <v>2</v>
      </c>
      <c r="E5" s="13">
        <v>1019.0</v>
      </c>
      <c r="F5" s="14">
        <f t="shared" si="2"/>
        <v>47.5</v>
      </c>
      <c r="G5" s="15">
        <f t="shared" si="3"/>
        <v>2</v>
      </c>
      <c r="H5" s="15">
        <v>3.0</v>
      </c>
      <c r="I5" s="15" t="s">
        <v>22</v>
      </c>
      <c r="J5" s="16"/>
      <c r="K5" s="16"/>
      <c r="L5" s="16"/>
      <c r="M5" s="16"/>
      <c r="N5" s="16"/>
      <c r="O5" s="17"/>
      <c r="P5" s="15"/>
      <c r="Q5" s="16"/>
      <c r="R5" s="16"/>
      <c r="S5" s="16"/>
      <c r="T5" s="16"/>
      <c r="U5" s="16"/>
      <c r="V5" s="16"/>
      <c r="W5" s="16"/>
      <c r="X5" s="16"/>
      <c r="Y5" s="16"/>
      <c r="Z5" s="16"/>
      <c r="AA5" s="16"/>
      <c r="AB5" s="16"/>
      <c r="AC5" s="16"/>
      <c r="AD5" s="16"/>
      <c r="AE5" s="16"/>
      <c r="AF5" s="16"/>
      <c r="AG5" s="16"/>
      <c r="AH5" s="16"/>
    </row>
    <row r="6">
      <c r="A6" s="10">
        <v>5.0</v>
      </c>
      <c r="B6" s="11">
        <v>3000.0</v>
      </c>
      <c r="C6" s="11">
        <v>6000.0</v>
      </c>
      <c r="D6" s="12">
        <f t="shared" si="1"/>
        <v>2</v>
      </c>
      <c r="E6" s="13">
        <v>645.0</v>
      </c>
      <c r="F6" s="14">
        <f t="shared" si="2"/>
        <v>0</v>
      </c>
      <c r="G6" s="15">
        <f t="shared" si="3"/>
        <v>1</v>
      </c>
      <c r="H6" s="15">
        <v>1.0</v>
      </c>
      <c r="I6" s="15" t="s">
        <v>23</v>
      </c>
      <c r="J6" s="16"/>
      <c r="K6" s="16"/>
      <c r="L6" s="16"/>
      <c r="M6" s="16"/>
      <c r="N6" s="16"/>
      <c r="O6" s="17"/>
      <c r="P6" s="15"/>
      <c r="Q6" s="16"/>
      <c r="R6" s="16"/>
      <c r="S6" s="16"/>
      <c r="T6" s="16"/>
      <c r="U6" s="16"/>
      <c r="V6" s="16"/>
      <c r="W6" s="16"/>
      <c r="X6" s="16"/>
      <c r="Y6" s="16"/>
      <c r="Z6" s="16"/>
      <c r="AA6" s="16"/>
      <c r="AB6" s="16"/>
      <c r="AC6" s="16"/>
      <c r="AD6" s="16"/>
      <c r="AE6" s="16"/>
      <c r="AF6" s="16"/>
      <c r="AG6" s="16"/>
      <c r="AH6" s="16"/>
    </row>
    <row r="7">
      <c r="A7" s="10">
        <v>6.0</v>
      </c>
      <c r="B7" s="11">
        <v>1.2E7</v>
      </c>
      <c r="C7" s="11">
        <v>1.8E7</v>
      </c>
      <c r="D7" s="12">
        <f t="shared" si="1"/>
        <v>1.5</v>
      </c>
      <c r="E7" s="13">
        <v>868.0</v>
      </c>
      <c r="F7" s="14">
        <f t="shared" si="2"/>
        <v>13.1</v>
      </c>
      <c r="G7" s="15">
        <f t="shared" si="3"/>
        <v>1</v>
      </c>
      <c r="H7" s="15">
        <v>2.0</v>
      </c>
      <c r="I7" s="15" t="s">
        <v>24</v>
      </c>
      <c r="J7" s="16"/>
      <c r="K7" s="16"/>
      <c r="L7" s="16"/>
      <c r="M7" s="16"/>
      <c r="N7" s="16"/>
      <c r="O7" s="17"/>
      <c r="P7" s="15"/>
      <c r="Q7" s="16"/>
      <c r="R7" s="16"/>
      <c r="S7" s="16"/>
      <c r="T7" s="16"/>
      <c r="U7" s="16"/>
      <c r="V7" s="16"/>
      <c r="W7" s="16"/>
      <c r="X7" s="16"/>
      <c r="Y7" s="16"/>
      <c r="Z7" s="16"/>
      <c r="AA7" s="16"/>
      <c r="AB7" s="16"/>
      <c r="AC7" s="16"/>
      <c r="AD7" s="16"/>
      <c r="AE7" s="16"/>
      <c r="AF7" s="16"/>
      <c r="AG7" s="16"/>
      <c r="AH7" s="16"/>
    </row>
    <row r="8">
      <c r="A8" s="10">
        <v>7.0</v>
      </c>
      <c r="B8" s="11">
        <v>7.0E8</v>
      </c>
      <c r="C8" s="11">
        <v>1.5E9</v>
      </c>
      <c r="D8" s="12">
        <f t="shared" si="1"/>
        <v>2.142857143</v>
      </c>
      <c r="E8" s="13">
        <v>1041.0</v>
      </c>
      <c r="F8" s="14">
        <f t="shared" si="2"/>
        <v>59</v>
      </c>
      <c r="G8" s="15">
        <f t="shared" si="3"/>
        <v>3</v>
      </c>
      <c r="H8" s="10">
        <v>3.0</v>
      </c>
      <c r="I8" s="10" t="s">
        <v>25</v>
      </c>
      <c r="J8" s="16"/>
      <c r="K8" s="16"/>
      <c r="L8" s="16"/>
      <c r="M8" s="16"/>
      <c r="N8" s="16"/>
      <c r="O8" s="17"/>
      <c r="P8" s="15"/>
      <c r="Q8" s="16"/>
      <c r="R8" s="16"/>
      <c r="S8" s="16"/>
      <c r="T8" s="16"/>
      <c r="U8" s="16"/>
      <c r="V8" s="16"/>
      <c r="W8" s="16"/>
      <c r="X8" s="16"/>
      <c r="Y8" s="16"/>
      <c r="Z8" s="16"/>
      <c r="AA8" s="16"/>
      <c r="AB8" s="16"/>
      <c r="AC8" s="16"/>
      <c r="AD8" s="16"/>
      <c r="AE8" s="16"/>
      <c r="AF8" s="16"/>
      <c r="AG8" s="16"/>
      <c r="AH8" s="16"/>
    </row>
    <row r="9">
      <c r="A9" s="10">
        <v>8.0</v>
      </c>
      <c r="B9" s="11">
        <v>7.0E15</v>
      </c>
      <c r="C9" s="11">
        <v>1.0E16</v>
      </c>
      <c r="D9" s="12">
        <f t="shared" si="1"/>
        <v>1.428571429</v>
      </c>
      <c r="E9" s="13">
        <v>894.0</v>
      </c>
      <c r="F9" s="14">
        <f t="shared" si="2"/>
        <v>16.4</v>
      </c>
      <c r="G9" s="15">
        <f t="shared" si="3"/>
        <v>1</v>
      </c>
      <c r="H9" s="10">
        <v>2.0</v>
      </c>
      <c r="I9" s="10" t="s">
        <v>26</v>
      </c>
      <c r="J9" s="16"/>
      <c r="K9" s="16"/>
      <c r="L9" s="16"/>
      <c r="M9" s="16"/>
      <c r="N9" s="16"/>
      <c r="O9" s="17"/>
      <c r="P9" s="15"/>
      <c r="Q9" s="16"/>
      <c r="R9" s="16"/>
      <c r="S9" s="16"/>
      <c r="T9" s="16"/>
      <c r="U9" s="16"/>
      <c r="V9" s="16"/>
      <c r="W9" s="16"/>
      <c r="X9" s="16"/>
      <c r="Y9" s="16"/>
      <c r="Z9" s="16"/>
      <c r="AA9" s="16"/>
      <c r="AB9" s="16"/>
      <c r="AC9" s="16"/>
      <c r="AD9" s="16"/>
      <c r="AE9" s="16"/>
      <c r="AF9" s="16"/>
      <c r="AG9" s="16"/>
      <c r="AH9" s="16"/>
    </row>
    <row r="10">
      <c r="A10" s="10">
        <v>9.0</v>
      </c>
      <c r="B10" s="11">
        <v>16.0</v>
      </c>
      <c r="C10" s="11">
        <v>17.0</v>
      </c>
      <c r="D10" s="12">
        <f t="shared" si="1"/>
        <v>1.0625</v>
      </c>
      <c r="E10" s="13">
        <v>706.0</v>
      </c>
      <c r="F10" s="14">
        <f t="shared" si="2"/>
        <v>4.9</v>
      </c>
      <c r="G10" s="15">
        <f t="shared" si="3"/>
        <v>1</v>
      </c>
      <c r="H10" s="15">
        <v>2.0</v>
      </c>
      <c r="I10" s="15" t="s">
        <v>27</v>
      </c>
      <c r="J10" s="16"/>
      <c r="K10" s="16"/>
      <c r="L10" s="16"/>
      <c r="M10" s="16"/>
      <c r="N10" s="16"/>
      <c r="O10" s="17"/>
      <c r="P10" s="15"/>
      <c r="Q10" s="16"/>
      <c r="R10" s="16"/>
      <c r="S10" s="16"/>
      <c r="T10" s="16"/>
      <c r="U10" s="16"/>
      <c r="V10" s="16"/>
      <c r="W10" s="16"/>
      <c r="X10" s="16"/>
      <c r="Y10" s="16"/>
      <c r="Z10" s="16"/>
      <c r="AA10" s="16"/>
      <c r="AB10" s="16"/>
      <c r="AC10" s="16"/>
      <c r="AD10" s="16"/>
      <c r="AE10" s="16"/>
      <c r="AF10" s="16"/>
      <c r="AG10" s="16"/>
      <c r="AH10" s="16"/>
    </row>
    <row r="11">
      <c r="A11" s="10">
        <v>10.0</v>
      </c>
      <c r="B11" s="11">
        <v>1000.0</v>
      </c>
      <c r="C11" s="11">
        <v>2000.0</v>
      </c>
      <c r="D11" s="12">
        <f t="shared" si="1"/>
        <v>2</v>
      </c>
      <c r="E11" s="13">
        <v>955.0</v>
      </c>
      <c r="F11" s="14">
        <f t="shared" si="2"/>
        <v>26.2</v>
      </c>
      <c r="G11" s="15">
        <f t="shared" si="3"/>
        <v>2</v>
      </c>
      <c r="H11" s="15">
        <v>2.0</v>
      </c>
      <c r="I11" s="15" t="s">
        <v>28</v>
      </c>
      <c r="J11" s="16"/>
      <c r="K11" s="16"/>
      <c r="L11" s="16"/>
      <c r="M11" s="16"/>
      <c r="N11" s="16"/>
      <c r="O11" s="17"/>
      <c r="P11" s="15"/>
      <c r="Q11" s="16"/>
      <c r="R11" s="16"/>
      <c r="S11" s="16"/>
      <c r="T11" s="16"/>
      <c r="U11" s="16"/>
      <c r="V11" s="16"/>
      <c r="W11" s="16"/>
      <c r="X11" s="16"/>
      <c r="Y11" s="16"/>
      <c r="Z11" s="16"/>
      <c r="AA11" s="16"/>
      <c r="AB11" s="16"/>
      <c r="AC11" s="16"/>
      <c r="AD11" s="16"/>
      <c r="AE11" s="16"/>
      <c r="AF11" s="16"/>
      <c r="AG11" s="16"/>
      <c r="AH11" s="16"/>
    </row>
    <row r="12">
      <c r="A12" s="10">
        <v>11.0</v>
      </c>
      <c r="B12" s="11">
        <v>120000.0</v>
      </c>
      <c r="C12" s="11">
        <v>250000.0</v>
      </c>
      <c r="D12" s="12">
        <f t="shared" si="1"/>
        <v>2.083333333</v>
      </c>
      <c r="E12" s="13">
        <v>1030.0</v>
      </c>
      <c r="F12" s="14">
        <f t="shared" si="2"/>
        <v>54.1</v>
      </c>
      <c r="G12" s="15">
        <f t="shared" si="3"/>
        <v>3</v>
      </c>
      <c r="H12" s="15">
        <v>3.0</v>
      </c>
      <c r="I12" s="15" t="s">
        <v>29</v>
      </c>
      <c r="J12" s="16"/>
      <c r="K12" s="16"/>
      <c r="L12" s="16"/>
      <c r="M12" s="16"/>
      <c r="N12" s="16"/>
      <c r="O12" s="17"/>
      <c r="P12" s="15"/>
      <c r="Q12" s="16"/>
      <c r="R12" s="16"/>
      <c r="S12" s="16"/>
      <c r="T12" s="16"/>
      <c r="U12" s="16"/>
      <c r="V12" s="16"/>
      <c r="W12" s="16"/>
      <c r="X12" s="16"/>
      <c r="Y12" s="16"/>
      <c r="Z12" s="16"/>
      <c r="AA12" s="16"/>
      <c r="AB12" s="16"/>
      <c r="AC12" s="16"/>
      <c r="AD12" s="16"/>
      <c r="AE12" s="16"/>
      <c r="AF12" s="16"/>
      <c r="AG12" s="16"/>
      <c r="AH12" s="16"/>
    </row>
    <row r="13">
      <c r="A13" s="10">
        <v>12.0</v>
      </c>
      <c r="B13" s="11">
        <v>400000.0</v>
      </c>
      <c r="C13" s="11">
        <v>1000000.0</v>
      </c>
      <c r="D13" s="12">
        <f t="shared" si="1"/>
        <v>2.5</v>
      </c>
      <c r="E13" s="13">
        <v>1079.0</v>
      </c>
      <c r="F13" s="14">
        <f t="shared" si="2"/>
        <v>73.8</v>
      </c>
      <c r="G13" s="15">
        <f t="shared" si="3"/>
        <v>3</v>
      </c>
      <c r="H13" s="15">
        <v>3.0</v>
      </c>
      <c r="I13" s="15" t="s">
        <v>30</v>
      </c>
      <c r="J13" s="16"/>
      <c r="K13" s="16"/>
      <c r="L13" s="16"/>
      <c r="M13" s="16"/>
      <c r="N13" s="16"/>
      <c r="O13" s="17"/>
      <c r="P13" s="15"/>
      <c r="Q13" s="16"/>
      <c r="R13" s="16"/>
      <c r="S13" s="16"/>
      <c r="T13" s="16"/>
      <c r="U13" s="16"/>
      <c r="V13" s="16"/>
      <c r="W13" s="16"/>
      <c r="X13" s="16"/>
      <c r="Y13" s="16"/>
      <c r="Z13" s="16"/>
      <c r="AA13" s="16"/>
      <c r="AB13" s="16"/>
      <c r="AC13" s="16"/>
      <c r="AD13" s="16"/>
      <c r="AE13" s="16"/>
      <c r="AF13" s="16"/>
      <c r="AG13" s="16"/>
      <c r="AH13" s="16"/>
    </row>
    <row r="14">
      <c r="A14" s="10">
        <v>13.0</v>
      </c>
      <c r="B14" s="11">
        <v>500.0</v>
      </c>
      <c r="C14" s="11">
        <v>600.0</v>
      </c>
      <c r="D14" s="12">
        <f t="shared" si="1"/>
        <v>1.2</v>
      </c>
      <c r="E14" s="13">
        <v>751.0</v>
      </c>
      <c r="F14" s="14">
        <f t="shared" si="2"/>
        <v>6.6</v>
      </c>
      <c r="G14" s="15">
        <f t="shared" si="3"/>
        <v>1</v>
      </c>
      <c r="H14" s="15">
        <v>1.0</v>
      </c>
      <c r="I14" s="15" t="s">
        <v>31</v>
      </c>
      <c r="J14" s="16"/>
      <c r="K14" s="16"/>
      <c r="L14" s="16"/>
      <c r="M14" s="16"/>
      <c r="N14" s="16"/>
      <c r="O14" s="17"/>
      <c r="P14" s="15"/>
      <c r="Q14" s="16"/>
      <c r="R14" s="16"/>
      <c r="S14" s="16"/>
      <c r="T14" s="16"/>
      <c r="U14" s="16"/>
      <c r="V14" s="16"/>
      <c r="W14" s="16"/>
      <c r="X14" s="16"/>
      <c r="Y14" s="16"/>
      <c r="Z14" s="16"/>
      <c r="AA14" s="16"/>
      <c r="AB14" s="16"/>
      <c r="AC14" s="16"/>
      <c r="AD14" s="16"/>
      <c r="AE14" s="16"/>
      <c r="AF14" s="16"/>
      <c r="AG14" s="16"/>
      <c r="AH14" s="16"/>
    </row>
    <row r="15">
      <c r="A15" s="10">
        <v>14.0</v>
      </c>
      <c r="B15" s="11">
        <v>870000.0</v>
      </c>
      <c r="C15" s="11">
        <v>880000.0</v>
      </c>
      <c r="D15" s="12">
        <f t="shared" si="1"/>
        <v>1.011494253</v>
      </c>
      <c r="E15" s="13">
        <v>671.0</v>
      </c>
      <c r="F15" s="14">
        <f t="shared" si="2"/>
        <v>3.3</v>
      </c>
      <c r="G15" s="15">
        <f t="shared" si="3"/>
        <v>1</v>
      </c>
      <c r="H15" s="15">
        <v>2.0</v>
      </c>
      <c r="I15" s="15" t="s">
        <v>32</v>
      </c>
      <c r="J15" s="16"/>
      <c r="K15" s="16"/>
      <c r="L15" s="16"/>
      <c r="M15" s="16"/>
      <c r="N15" s="16"/>
      <c r="O15" s="17"/>
      <c r="P15" s="15"/>
      <c r="Q15" s="16"/>
      <c r="R15" s="16"/>
      <c r="S15" s="16"/>
      <c r="T15" s="16"/>
      <c r="U15" s="16"/>
      <c r="V15" s="16"/>
      <c r="W15" s="16"/>
      <c r="X15" s="16"/>
      <c r="Y15" s="16"/>
      <c r="Z15" s="16"/>
      <c r="AA15" s="16"/>
      <c r="AB15" s="16"/>
      <c r="AC15" s="16"/>
      <c r="AD15" s="16"/>
      <c r="AE15" s="16"/>
      <c r="AF15" s="16"/>
      <c r="AG15" s="16"/>
      <c r="AH15" s="16"/>
    </row>
    <row r="16">
      <c r="A16" s="10">
        <v>15.0</v>
      </c>
      <c r="B16" s="11">
        <v>200000.0</v>
      </c>
      <c r="C16" s="11">
        <v>350000.0</v>
      </c>
      <c r="D16" s="12">
        <f t="shared" si="1"/>
        <v>1.75</v>
      </c>
      <c r="E16" s="13">
        <v>1071.0</v>
      </c>
      <c r="F16" s="14">
        <f t="shared" si="2"/>
        <v>72.1</v>
      </c>
      <c r="G16" s="15">
        <f t="shared" si="3"/>
        <v>3</v>
      </c>
      <c r="H16" s="15">
        <v>3.0</v>
      </c>
      <c r="I16" s="15" t="s">
        <v>33</v>
      </c>
      <c r="J16" s="16"/>
      <c r="K16" s="16"/>
      <c r="L16" s="16"/>
      <c r="M16" s="16"/>
      <c r="N16" s="16"/>
      <c r="O16" s="17"/>
      <c r="P16" s="15"/>
      <c r="Q16" s="16"/>
      <c r="R16" s="16"/>
      <c r="S16" s="16"/>
      <c r="T16" s="16"/>
      <c r="U16" s="16"/>
      <c r="V16" s="16"/>
      <c r="W16" s="16"/>
      <c r="X16" s="16"/>
      <c r="Y16" s="16"/>
      <c r="Z16" s="16"/>
      <c r="AA16" s="16"/>
      <c r="AB16" s="16"/>
      <c r="AC16" s="16"/>
      <c r="AD16" s="16"/>
      <c r="AE16" s="16"/>
      <c r="AF16" s="16"/>
      <c r="AG16" s="16"/>
      <c r="AH16" s="16"/>
    </row>
    <row r="17">
      <c r="A17" s="10">
        <v>16.0</v>
      </c>
      <c r="B17" s="11">
        <v>4.0E10</v>
      </c>
      <c r="C17" s="11">
        <v>7.0E10</v>
      </c>
      <c r="D17" s="12">
        <f t="shared" si="1"/>
        <v>1.75</v>
      </c>
      <c r="E17" s="13">
        <v>940.0</v>
      </c>
      <c r="F17" s="14">
        <f t="shared" si="2"/>
        <v>21.3</v>
      </c>
      <c r="G17" s="15">
        <f t="shared" si="3"/>
        <v>1</v>
      </c>
      <c r="H17" s="15">
        <v>2.0</v>
      </c>
      <c r="I17" s="15" t="s">
        <v>34</v>
      </c>
      <c r="J17" s="16"/>
      <c r="K17" s="16"/>
      <c r="L17" s="16"/>
      <c r="M17" s="16"/>
      <c r="N17" s="16"/>
      <c r="O17" s="17"/>
      <c r="P17" s="15"/>
      <c r="Q17" s="16"/>
      <c r="R17" s="16"/>
      <c r="S17" s="16"/>
      <c r="T17" s="16"/>
      <c r="U17" s="16"/>
      <c r="V17" s="16"/>
      <c r="W17" s="16"/>
      <c r="X17" s="16"/>
      <c r="Y17" s="16"/>
      <c r="Z17" s="16"/>
      <c r="AA17" s="16"/>
      <c r="AB17" s="16"/>
      <c r="AC17" s="16"/>
      <c r="AD17" s="16"/>
      <c r="AE17" s="16"/>
      <c r="AF17" s="16"/>
      <c r="AG17" s="16"/>
      <c r="AH17" s="16"/>
    </row>
    <row r="18">
      <c r="A18" s="10">
        <v>17.0</v>
      </c>
      <c r="B18" s="11">
        <v>1000000.0</v>
      </c>
      <c r="C18" s="11">
        <v>1800000.0</v>
      </c>
      <c r="D18" s="12">
        <f t="shared" si="1"/>
        <v>1.8</v>
      </c>
      <c r="E18" s="13">
        <v>759.0</v>
      </c>
      <c r="F18" s="14">
        <f t="shared" si="2"/>
        <v>9.8</v>
      </c>
      <c r="G18" s="15">
        <f t="shared" si="3"/>
        <v>1</v>
      </c>
      <c r="H18" s="15">
        <v>1.0</v>
      </c>
      <c r="I18" s="15" t="s">
        <v>35</v>
      </c>
      <c r="J18" s="16"/>
      <c r="K18" s="16"/>
      <c r="L18" s="16"/>
      <c r="M18" s="16"/>
      <c r="N18" s="16"/>
      <c r="O18" s="17"/>
      <c r="P18" s="15"/>
      <c r="Q18" s="16"/>
      <c r="R18" s="16"/>
      <c r="S18" s="16"/>
      <c r="T18" s="16"/>
      <c r="U18" s="16"/>
      <c r="V18" s="16"/>
      <c r="W18" s="16"/>
      <c r="X18" s="16"/>
      <c r="Y18" s="16"/>
      <c r="Z18" s="16"/>
      <c r="AA18" s="16"/>
      <c r="AB18" s="16"/>
      <c r="AC18" s="16"/>
      <c r="AD18" s="16"/>
      <c r="AE18" s="16"/>
      <c r="AF18" s="16"/>
      <c r="AG18" s="16"/>
      <c r="AH18" s="16"/>
    </row>
    <row r="19">
      <c r="A19" s="10">
        <v>18.0</v>
      </c>
      <c r="B19" s="11">
        <v>120000.0</v>
      </c>
      <c r="C19" s="11">
        <v>150000.0</v>
      </c>
      <c r="D19" s="12">
        <f t="shared" si="1"/>
        <v>1.25</v>
      </c>
      <c r="E19" s="13">
        <v>918.0</v>
      </c>
      <c r="F19" s="14">
        <f t="shared" si="2"/>
        <v>18</v>
      </c>
      <c r="G19" s="15">
        <f t="shared" si="3"/>
        <v>1</v>
      </c>
      <c r="H19" s="10">
        <v>2.0</v>
      </c>
      <c r="I19" s="10" t="s">
        <v>36</v>
      </c>
      <c r="J19" s="16"/>
      <c r="K19" s="16"/>
      <c r="L19" s="16"/>
      <c r="M19" s="16"/>
      <c r="N19" s="16"/>
      <c r="O19" s="17"/>
      <c r="P19" s="15"/>
      <c r="Q19" s="16"/>
      <c r="R19" s="16"/>
      <c r="S19" s="16"/>
      <c r="T19" s="16"/>
      <c r="U19" s="16"/>
      <c r="V19" s="16"/>
      <c r="W19" s="16"/>
      <c r="X19" s="16"/>
      <c r="Y19" s="16"/>
      <c r="Z19" s="16"/>
      <c r="AA19" s="16"/>
      <c r="AB19" s="16"/>
      <c r="AC19" s="16"/>
      <c r="AD19" s="16"/>
      <c r="AE19" s="16"/>
      <c r="AF19" s="16"/>
      <c r="AG19" s="16"/>
      <c r="AH19" s="16"/>
    </row>
    <row r="20">
      <c r="A20" s="10">
        <v>19.0</v>
      </c>
      <c r="B20" s="11">
        <v>30000.0</v>
      </c>
      <c r="C20" s="11">
        <v>120000.0</v>
      </c>
      <c r="D20" s="12">
        <f t="shared" si="1"/>
        <v>4</v>
      </c>
      <c r="E20" s="13">
        <v>1193.0</v>
      </c>
      <c r="F20" s="14">
        <f t="shared" si="2"/>
        <v>93.4</v>
      </c>
      <c r="G20" s="15">
        <f t="shared" si="3"/>
        <v>4</v>
      </c>
      <c r="H20" s="15">
        <v>4.0</v>
      </c>
      <c r="I20" s="15" t="s">
        <v>37</v>
      </c>
      <c r="J20" s="16"/>
      <c r="K20" s="16"/>
      <c r="L20" s="16"/>
      <c r="M20" s="16"/>
      <c r="N20" s="16"/>
      <c r="O20" s="17"/>
      <c r="P20" s="15"/>
      <c r="Q20" s="16"/>
      <c r="R20" s="16"/>
      <c r="S20" s="16"/>
      <c r="T20" s="16"/>
      <c r="U20" s="16"/>
      <c r="V20" s="16"/>
      <c r="W20" s="16"/>
      <c r="X20" s="16"/>
      <c r="Y20" s="16"/>
      <c r="Z20" s="16"/>
      <c r="AA20" s="16"/>
      <c r="AB20" s="16"/>
      <c r="AC20" s="16"/>
      <c r="AD20" s="16"/>
      <c r="AE20" s="16"/>
      <c r="AF20" s="16"/>
      <c r="AG20" s="16"/>
      <c r="AH20" s="16"/>
    </row>
    <row r="21">
      <c r="A21" s="10">
        <v>20.0</v>
      </c>
      <c r="B21" s="11">
        <v>100000.0</v>
      </c>
      <c r="C21" s="11">
        <v>200000.0</v>
      </c>
      <c r="D21" s="12">
        <f t="shared" si="1"/>
        <v>2</v>
      </c>
      <c r="E21" s="13">
        <v>1145.0</v>
      </c>
      <c r="F21" s="14">
        <f t="shared" si="2"/>
        <v>86.9</v>
      </c>
      <c r="G21" s="15">
        <f t="shared" si="3"/>
        <v>4</v>
      </c>
      <c r="H21" s="15">
        <v>4.0</v>
      </c>
      <c r="I21" s="15" t="s">
        <v>38</v>
      </c>
      <c r="J21" s="16"/>
      <c r="K21" s="16"/>
      <c r="L21" s="16"/>
      <c r="M21" s="16"/>
      <c r="N21" s="16"/>
      <c r="O21" s="17"/>
      <c r="P21" s="15"/>
      <c r="Q21" s="16"/>
      <c r="R21" s="16"/>
      <c r="S21" s="16"/>
      <c r="T21" s="16"/>
      <c r="U21" s="16"/>
      <c r="V21" s="16"/>
      <c r="W21" s="16"/>
      <c r="X21" s="16"/>
      <c r="Y21" s="16"/>
      <c r="Z21" s="16"/>
      <c r="AA21" s="16"/>
      <c r="AB21" s="16"/>
      <c r="AC21" s="16"/>
      <c r="AD21" s="16"/>
      <c r="AE21" s="16"/>
      <c r="AF21" s="16"/>
      <c r="AG21" s="16"/>
      <c r="AH21" s="16"/>
    </row>
    <row r="22">
      <c r="A22" s="10">
        <v>21.0</v>
      </c>
      <c r="B22" s="11">
        <v>25000.0</v>
      </c>
      <c r="C22" s="11">
        <v>40000.0</v>
      </c>
      <c r="D22" s="12">
        <f t="shared" si="1"/>
        <v>1.6</v>
      </c>
      <c r="E22" s="13">
        <v>1007.0</v>
      </c>
      <c r="F22" s="14">
        <f t="shared" si="2"/>
        <v>42.6</v>
      </c>
      <c r="G22" s="15">
        <f t="shared" si="3"/>
        <v>2</v>
      </c>
      <c r="H22" s="15">
        <v>2.0</v>
      </c>
      <c r="I22" s="15" t="s">
        <v>39</v>
      </c>
      <c r="J22" s="16"/>
      <c r="K22" s="16"/>
      <c r="L22" s="16"/>
      <c r="M22" s="16"/>
      <c r="N22" s="16"/>
      <c r="O22" s="17"/>
      <c r="P22" s="15"/>
      <c r="Q22" s="16"/>
      <c r="R22" s="16"/>
      <c r="S22" s="16"/>
      <c r="T22" s="16"/>
      <c r="U22" s="16"/>
      <c r="V22" s="16"/>
      <c r="W22" s="16"/>
      <c r="X22" s="16"/>
      <c r="Y22" s="16"/>
      <c r="Z22" s="16"/>
      <c r="AA22" s="16"/>
      <c r="AB22" s="16"/>
      <c r="AC22" s="16"/>
      <c r="AD22" s="16"/>
      <c r="AE22" s="16"/>
      <c r="AF22" s="16"/>
      <c r="AG22" s="16"/>
      <c r="AH22" s="16"/>
    </row>
    <row r="23">
      <c r="A23" s="10">
        <v>22.0</v>
      </c>
      <c r="B23" s="11">
        <v>4000000.0</v>
      </c>
      <c r="C23" s="11">
        <v>6000000.0</v>
      </c>
      <c r="D23" s="12">
        <f t="shared" si="1"/>
        <v>1.5</v>
      </c>
      <c r="E23" s="13">
        <v>1069.0</v>
      </c>
      <c r="F23" s="14">
        <f t="shared" si="2"/>
        <v>70.5</v>
      </c>
      <c r="G23" s="15">
        <f t="shared" si="3"/>
        <v>3</v>
      </c>
      <c r="H23" s="15">
        <v>3.0</v>
      </c>
      <c r="I23" s="15" t="s">
        <v>40</v>
      </c>
      <c r="J23" s="16"/>
      <c r="K23" s="16"/>
      <c r="L23" s="16"/>
      <c r="M23" s="16"/>
      <c r="N23" s="16"/>
      <c r="O23" s="17"/>
      <c r="P23" s="15"/>
      <c r="Q23" s="16"/>
      <c r="R23" s="16"/>
      <c r="S23" s="16"/>
      <c r="T23" s="16"/>
      <c r="U23" s="16"/>
      <c r="V23" s="16"/>
      <c r="W23" s="16"/>
      <c r="X23" s="16"/>
      <c r="Y23" s="16"/>
      <c r="Z23" s="16"/>
      <c r="AA23" s="16"/>
      <c r="AB23" s="16"/>
      <c r="AC23" s="16"/>
      <c r="AD23" s="16"/>
      <c r="AE23" s="16"/>
      <c r="AF23" s="16"/>
      <c r="AG23" s="16"/>
      <c r="AH23" s="16"/>
    </row>
    <row r="24">
      <c r="A24" s="10">
        <v>23.0</v>
      </c>
      <c r="B24" s="11">
        <v>5.0E7</v>
      </c>
      <c r="C24" s="11">
        <v>7.0E7</v>
      </c>
      <c r="D24" s="12">
        <f t="shared" si="1"/>
        <v>1.4</v>
      </c>
      <c r="E24" s="13">
        <v>1087.0</v>
      </c>
      <c r="F24" s="14">
        <f t="shared" si="2"/>
        <v>80.3</v>
      </c>
      <c r="G24" s="15">
        <f t="shared" si="3"/>
        <v>4</v>
      </c>
      <c r="H24" s="15">
        <v>3.0</v>
      </c>
      <c r="I24" s="15" t="s">
        <v>41</v>
      </c>
      <c r="J24" s="16"/>
      <c r="K24" s="16"/>
      <c r="L24" s="16"/>
      <c r="M24" s="16"/>
      <c r="N24" s="16"/>
      <c r="O24" s="17"/>
      <c r="P24" s="15"/>
      <c r="Q24" s="16"/>
      <c r="R24" s="16"/>
      <c r="S24" s="16"/>
      <c r="T24" s="16"/>
      <c r="U24" s="16"/>
      <c r="V24" s="16"/>
      <c r="W24" s="16"/>
      <c r="X24" s="16"/>
      <c r="Y24" s="16"/>
      <c r="Z24" s="16"/>
      <c r="AA24" s="16"/>
      <c r="AB24" s="16"/>
      <c r="AC24" s="16"/>
      <c r="AD24" s="16"/>
      <c r="AE24" s="16"/>
      <c r="AF24" s="16"/>
      <c r="AG24" s="16"/>
      <c r="AH24" s="16"/>
    </row>
    <row r="25">
      <c r="A25" s="10">
        <v>24.0</v>
      </c>
      <c r="B25" s="11">
        <v>1000000.0</v>
      </c>
      <c r="C25" s="11">
        <v>2000000.0</v>
      </c>
      <c r="D25" s="12">
        <f t="shared" si="1"/>
        <v>2</v>
      </c>
      <c r="E25" s="13">
        <v>1138.0</v>
      </c>
      <c r="F25" s="14">
        <f t="shared" si="2"/>
        <v>85.2</v>
      </c>
      <c r="G25" s="15">
        <f t="shared" si="3"/>
        <v>4</v>
      </c>
      <c r="H25" s="10">
        <v>3.0</v>
      </c>
      <c r="I25" s="10" t="s">
        <v>42</v>
      </c>
      <c r="J25" s="16"/>
      <c r="K25" s="16"/>
      <c r="L25" s="16"/>
      <c r="M25" s="16"/>
      <c r="N25" s="16"/>
      <c r="O25" s="17"/>
      <c r="P25" s="15"/>
      <c r="Q25" s="16"/>
      <c r="R25" s="16"/>
      <c r="S25" s="16"/>
      <c r="T25" s="16"/>
      <c r="U25" s="16"/>
      <c r="V25" s="16"/>
      <c r="W25" s="16"/>
      <c r="X25" s="16"/>
      <c r="Y25" s="16"/>
      <c r="Z25" s="16"/>
      <c r="AA25" s="16"/>
      <c r="AB25" s="16"/>
      <c r="AC25" s="16"/>
      <c r="AD25" s="16"/>
      <c r="AE25" s="16"/>
      <c r="AF25" s="16"/>
      <c r="AG25" s="16"/>
      <c r="AH25" s="16"/>
    </row>
    <row r="26">
      <c r="A26" s="10">
        <v>25.0</v>
      </c>
      <c r="B26" s="11">
        <v>2.8E9</v>
      </c>
      <c r="C26" s="11">
        <v>3.5E9</v>
      </c>
      <c r="D26" s="12">
        <f t="shared" si="1"/>
        <v>1.25</v>
      </c>
      <c r="E26" s="13">
        <v>758.0</v>
      </c>
      <c r="F26" s="14">
        <f t="shared" si="2"/>
        <v>8.2</v>
      </c>
      <c r="G26" s="15">
        <f t="shared" si="3"/>
        <v>1</v>
      </c>
      <c r="H26" s="15">
        <v>1.0</v>
      </c>
      <c r="I26" s="15" t="s">
        <v>43</v>
      </c>
      <c r="J26" s="16"/>
      <c r="K26" s="16"/>
      <c r="L26" s="16"/>
      <c r="M26" s="16"/>
      <c r="N26" s="16"/>
      <c r="O26" s="17"/>
      <c r="P26" s="15"/>
      <c r="Q26" s="16"/>
      <c r="R26" s="16"/>
      <c r="S26" s="16"/>
      <c r="T26" s="16"/>
      <c r="U26" s="16"/>
      <c r="V26" s="16"/>
      <c r="W26" s="16"/>
      <c r="X26" s="16"/>
      <c r="Y26" s="16"/>
      <c r="Z26" s="16"/>
      <c r="AA26" s="16"/>
      <c r="AB26" s="16"/>
      <c r="AC26" s="16"/>
      <c r="AD26" s="16"/>
      <c r="AE26" s="16"/>
      <c r="AF26" s="16"/>
      <c r="AG26" s="16"/>
      <c r="AH26" s="16"/>
    </row>
    <row r="27">
      <c r="A27" s="10">
        <v>26.0</v>
      </c>
      <c r="B27" s="11">
        <v>1.0E7</v>
      </c>
      <c r="C27" s="11">
        <v>2.0E7</v>
      </c>
      <c r="D27" s="12">
        <f t="shared" si="1"/>
        <v>2</v>
      </c>
      <c r="E27" s="13">
        <v>1031.0</v>
      </c>
      <c r="F27" s="14">
        <f t="shared" si="2"/>
        <v>55.7</v>
      </c>
      <c r="G27" s="15">
        <f t="shared" si="3"/>
        <v>3</v>
      </c>
      <c r="H27" s="15">
        <v>3.0</v>
      </c>
      <c r="I27" s="15" t="s">
        <v>44</v>
      </c>
      <c r="J27" s="16"/>
      <c r="K27" s="16"/>
      <c r="L27" s="16"/>
      <c r="M27" s="16"/>
      <c r="N27" s="16"/>
      <c r="O27" s="17"/>
      <c r="P27" s="15"/>
      <c r="Q27" s="16"/>
      <c r="R27" s="16"/>
      <c r="S27" s="16"/>
      <c r="T27" s="16"/>
      <c r="U27" s="16"/>
      <c r="V27" s="16"/>
      <c r="W27" s="16"/>
      <c r="X27" s="16"/>
      <c r="Y27" s="16"/>
      <c r="Z27" s="16"/>
      <c r="AA27" s="16"/>
      <c r="AB27" s="16"/>
      <c r="AC27" s="16"/>
      <c r="AD27" s="16"/>
      <c r="AE27" s="16"/>
      <c r="AF27" s="16"/>
      <c r="AG27" s="16"/>
      <c r="AH27" s="16"/>
    </row>
    <row r="28">
      <c r="A28" s="10">
        <v>27.0</v>
      </c>
      <c r="B28" s="11">
        <v>8000000.0</v>
      </c>
      <c r="C28" s="11">
        <v>1.2E7</v>
      </c>
      <c r="D28" s="12">
        <f t="shared" si="1"/>
        <v>1.5</v>
      </c>
      <c r="E28" s="13">
        <v>1191.0</v>
      </c>
      <c r="F28" s="14">
        <f t="shared" si="2"/>
        <v>91.8</v>
      </c>
      <c r="G28" s="15">
        <f t="shared" si="3"/>
        <v>4</v>
      </c>
      <c r="H28" s="15">
        <v>3.0</v>
      </c>
      <c r="I28" s="15" t="s">
        <v>45</v>
      </c>
      <c r="J28" s="16"/>
      <c r="K28" s="16"/>
      <c r="L28" s="16"/>
      <c r="M28" s="16"/>
      <c r="N28" s="16"/>
      <c r="O28" s="17"/>
      <c r="P28" s="15"/>
      <c r="Q28" s="16"/>
      <c r="R28" s="16"/>
      <c r="S28" s="16"/>
      <c r="T28" s="16"/>
      <c r="U28" s="16"/>
      <c r="V28" s="16"/>
      <c r="W28" s="16"/>
      <c r="X28" s="16"/>
      <c r="Y28" s="16"/>
      <c r="Z28" s="16"/>
      <c r="AA28" s="16"/>
      <c r="AB28" s="16"/>
      <c r="AC28" s="16"/>
      <c r="AD28" s="16"/>
      <c r="AE28" s="16"/>
      <c r="AF28" s="16"/>
      <c r="AG28" s="16"/>
      <c r="AH28" s="16"/>
    </row>
    <row r="29">
      <c r="A29" s="10">
        <v>28.0</v>
      </c>
      <c r="B29" s="11">
        <v>4000000.0</v>
      </c>
      <c r="C29" s="11">
        <v>1.2E7</v>
      </c>
      <c r="D29" s="12">
        <f t="shared" si="1"/>
        <v>3</v>
      </c>
      <c r="E29" s="13">
        <v>1312.0</v>
      </c>
      <c r="F29" s="14">
        <f t="shared" si="2"/>
        <v>98.4</v>
      </c>
      <c r="G29" s="15">
        <f t="shared" si="3"/>
        <v>4</v>
      </c>
      <c r="H29" s="10">
        <v>4.0</v>
      </c>
      <c r="I29" s="10" t="s">
        <v>46</v>
      </c>
      <c r="J29" s="16"/>
      <c r="K29" s="16"/>
      <c r="L29" s="16"/>
      <c r="M29" s="16"/>
      <c r="N29" s="16"/>
      <c r="O29" s="17"/>
      <c r="P29" s="15"/>
      <c r="Q29" s="16"/>
      <c r="R29" s="16"/>
      <c r="S29" s="16"/>
      <c r="T29" s="16"/>
      <c r="U29" s="16"/>
      <c r="V29" s="16"/>
      <c r="W29" s="16"/>
      <c r="X29" s="16"/>
      <c r="Y29" s="16"/>
      <c r="Z29" s="16"/>
      <c r="AA29" s="16"/>
      <c r="AB29" s="16"/>
      <c r="AC29" s="16"/>
      <c r="AD29" s="16"/>
      <c r="AE29" s="16"/>
      <c r="AF29" s="16"/>
      <c r="AG29" s="16"/>
      <c r="AH29" s="16"/>
    </row>
    <row r="30">
      <c r="A30" s="10">
        <v>29.0</v>
      </c>
      <c r="B30" s="11">
        <v>500.0</v>
      </c>
      <c r="C30" s="11">
        <v>800.0</v>
      </c>
      <c r="D30" s="12">
        <f t="shared" si="1"/>
        <v>1.6</v>
      </c>
      <c r="E30" s="13">
        <v>660.0</v>
      </c>
      <c r="F30" s="14">
        <f t="shared" si="2"/>
        <v>1.6</v>
      </c>
      <c r="G30" s="15">
        <f t="shared" si="3"/>
        <v>1</v>
      </c>
      <c r="H30" s="10">
        <v>1.0</v>
      </c>
      <c r="I30" s="10" t="s">
        <v>47</v>
      </c>
      <c r="J30" s="16"/>
      <c r="K30" s="16"/>
      <c r="L30" s="16"/>
      <c r="M30" s="16"/>
      <c r="N30" s="16"/>
      <c r="O30" s="17"/>
      <c r="P30" s="15"/>
      <c r="Q30" s="16"/>
      <c r="R30" s="16"/>
      <c r="S30" s="16"/>
      <c r="T30" s="16"/>
      <c r="U30" s="16"/>
      <c r="V30" s="16"/>
      <c r="W30" s="16"/>
      <c r="X30" s="16"/>
      <c r="Y30" s="16"/>
      <c r="Z30" s="16"/>
      <c r="AA30" s="16"/>
      <c r="AB30" s="16"/>
      <c r="AC30" s="16"/>
      <c r="AD30" s="16"/>
      <c r="AE30" s="16"/>
      <c r="AF30" s="16"/>
      <c r="AG30" s="16"/>
      <c r="AH30" s="16"/>
    </row>
    <row r="31">
      <c r="A31" s="10">
        <v>30.0</v>
      </c>
      <c r="B31" s="11">
        <v>4.0E10</v>
      </c>
      <c r="C31" s="11">
        <v>7.0E10</v>
      </c>
      <c r="D31" s="12">
        <f t="shared" si="1"/>
        <v>1.75</v>
      </c>
      <c r="E31" s="13">
        <v>1066.0</v>
      </c>
      <c r="F31" s="14">
        <f t="shared" si="2"/>
        <v>68.9</v>
      </c>
      <c r="G31" s="15">
        <f t="shared" si="3"/>
        <v>3</v>
      </c>
      <c r="H31" s="10">
        <v>3.0</v>
      </c>
      <c r="I31" s="10" t="s">
        <v>48</v>
      </c>
      <c r="J31" s="16"/>
      <c r="K31" s="16"/>
      <c r="L31" s="16"/>
      <c r="M31" s="16"/>
      <c r="N31" s="16"/>
      <c r="O31" s="17"/>
      <c r="P31" s="15"/>
      <c r="Q31" s="16"/>
      <c r="R31" s="16"/>
      <c r="S31" s="16"/>
      <c r="T31" s="16"/>
      <c r="U31" s="16"/>
      <c r="V31" s="16"/>
      <c r="W31" s="16"/>
      <c r="X31" s="16"/>
      <c r="Y31" s="16"/>
      <c r="Z31" s="16"/>
      <c r="AA31" s="16"/>
      <c r="AB31" s="16"/>
      <c r="AC31" s="16"/>
      <c r="AD31" s="16"/>
      <c r="AE31" s="16"/>
      <c r="AF31" s="16"/>
      <c r="AG31" s="16"/>
      <c r="AH31" s="16"/>
    </row>
    <row r="32">
      <c r="A32" s="10">
        <v>31.0</v>
      </c>
      <c r="B32" s="11">
        <v>2.5E11</v>
      </c>
      <c r="C32" s="11">
        <v>6.0E11</v>
      </c>
      <c r="D32" s="12">
        <f t="shared" si="1"/>
        <v>2.4</v>
      </c>
      <c r="E32" s="13">
        <v>1163.0</v>
      </c>
      <c r="F32" s="14">
        <f t="shared" si="2"/>
        <v>88.5</v>
      </c>
      <c r="G32" s="15">
        <f t="shared" si="3"/>
        <v>4</v>
      </c>
      <c r="H32" s="10">
        <v>3.0</v>
      </c>
      <c r="I32" s="10" t="s">
        <v>49</v>
      </c>
      <c r="J32" s="16"/>
      <c r="K32" s="16"/>
      <c r="L32" s="16"/>
      <c r="M32" s="16"/>
      <c r="N32" s="16"/>
      <c r="O32" s="17"/>
      <c r="P32" s="15"/>
      <c r="Q32" s="16"/>
      <c r="R32" s="16"/>
      <c r="S32" s="16"/>
      <c r="T32" s="16"/>
      <c r="U32" s="16"/>
      <c r="V32" s="16"/>
      <c r="W32" s="16"/>
      <c r="X32" s="16"/>
      <c r="Y32" s="16"/>
      <c r="Z32" s="16"/>
      <c r="AA32" s="16"/>
      <c r="AB32" s="16"/>
      <c r="AC32" s="16"/>
      <c r="AD32" s="16"/>
      <c r="AE32" s="16"/>
      <c r="AF32" s="16"/>
      <c r="AG32" s="16"/>
      <c r="AH32" s="16"/>
    </row>
    <row r="33">
      <c r="A33" s="5"/>
      <c r="B33" s="18"/>
      <c r="C33" s="18"/>
      <c r="D33" s="19"/>
      <c r="E33" s="20"/>
      <c r="F33" s="21"/>
      <c r="G33" s="3"/>
      <c r="H33" s="5"/>
      <c r="I33" s="5"/>
      <c r="O33" s="1"/>
      <c r="P33" s="3"/>
    </row>
    <row r="34">
      <c r="A34" s="5">
        <v>32.0</v>
      </c>
      <c r="B34" s="18">
        <v>20000.0</v>
      </c>
      <c r="C34" s="18">
        <v>80000.0</v>
      </c>
      <c r="D34" s="19">
        <f t="shared" ref="D34:D64" si="4">C34/B34</f>
        <v>4</v>
      </c>
      <c r="E34" s="20">
        <v>1268.0</v>
      </c>
      <c r="F34" s="21">
        <f t="shared" ref="F34:F64" si="5">ROUND(_xlfn.PERCENTRANK.INC(E:E, E34)*100, 1)</f>
        <v>96.7</v>
      </c>
      <c r="G34" s="3">
        <f t="shared" ref="G34:G64" si="6">IFS(F34&gt;75, 4, F34&gt;50, 3, F34&gt;25, 2, TRUE, 1)</f>
        <v>4</v>
      </c>
      <c r="H34" s="5">
        <v>4.0</v>
      </c>
      <c r="I34" s="5" t="s">
        <v>50</v>
      </c>
      <c r="O34" s="1"/>
      <c r="P34" s="3"/>
    </row>
    <row r="35">
      <c r="A35" s="22">
        <v>101.0</v>
      </c>
      <c r="B35" s="18">
        <v>65000.0</v>
      </c>
      <c r="C35" s="18">
        <v>175000.0</v>
      </c>
      <c r="D35" s="19">
        <f t="shared" si="4"/>
        <v>2.692307692</v>
      </c>
      <c r="E35" s="20">
        <v>999.0</v>
      </c>
      <c r="F35" s="21">
        <f t="shared" si="5"/>
        <v>39.3</v>
      </c>
      <c r="G35" s="3">
        <f t="shared" si="6"/>
        <v>2</v>
      </c>
      <c r="H35" s="22">
        <v>2.0</v>
      </c>
      <c r="I35" s="23" t="s">
        <v>51</v>
      </c>
    </row>
    <row r="36">
      <c r="A36" s="22">
        <v>105.0</v>
      </c>
      <c r="B36" s="18">
        <v>5000000.0</v>
      </c>
      <c r="C36" s="18">
        <v>3.0E7</v>
      </c>
      <c r="D36" s="19">
        <f t="shared" si="4"/>
        <v>6</v>
      </c>
      <c r="E36" s="20">
        <v>1048.0</v>
      </c>
      <c r="F36" s="21">
        <f t="shared" si="5"/>
        <v>63.9</v>
      </c>
      <c r="G36" s="3">
        <f t="shared" si="6"/>
        <v>3</v>
      </c>
      <c r="H36" s="22">
        <v>3.0</v>
      </c>
      <c r="I36" s="23" t="s">
        <v>52</v>
      </c>
    </row>
    <row r="37">
      <c r="A37" s="22">
        <v>106.0</v>
      </c>
      <c r="B37" s="18">
        <v>100000.0</v>
      </c>
      <c r="C37" s="18">
        <v>160000.0</v>
      </c>
      <c r="D37" s="19">
        <f t="shared" si="4"/>
        <v>1.6</v>
      </c>
      <c r="E37" s="20">
        <v>1025.0</v>
      </c>
      <c r="F37" s="21">
        <f t="shared" si="5"/>
        <v>50.8</v>
      </c>
      <c r="G37" s="3">
        <f t="shared" si="6"/>
        <v>3</v>
      </c>
      <c r="H37" s="22">
        <v>2.0</v>
      </c>
      <c r="I37" s="23" t="s">
        <v>53</v>
      </c>
    </row>
    <row r="38">
      <c r="A38" s="22">
        <v>107.0</v>
      </c>
      <c r="B38" s="18">
        <v>45000.0</v>
      </c>
      <c r="C38" s="18">
        <v>200000.0</v>
      </c>
      <c r="D38" s="19">
        <f t="shared" si="4"/>
        <v>4.444444444</v>
      </c>
      <c r="E38" s="20">
        <v>1033.0</v>
      </c>
      <c r="F38" s="21">
        <f t="shared" si="5"/>
        <v>57.4</v>
      </c>
      <c r="G38" s="3">
        <f t="shared" si="6"/>
        <v>3</v>
      </c>
      <c r="H38" s="22">
        <v>4.0</v>
      </c>
      <c r="I38" s="23" t="s">
        <v>54</v>
      </c>
    </row>
    <row r="39">
      <c r="A39" s="22">
        <v>108.0</v>
      </c>
      <c r="B39" s="18">
        <v>2.7E8</v>
      </c>
      <c r="C39" s="18">
        <v>1.05E9</v>
      </c>
      <c r="D39" s="19">
        <f t="shared" si="4"/>
        <v>3.888888889</v>
      </c>
      <c r="E39" s="20">
        <v>1001.0</v>
      </c>
      <c r="F39" s="21">
        <f t="shared" si="5"/>
        <v>41</v>
      </c>
      <c r="G39" s="3">
        <f t="shared" si="6"/>
        <v>2</v>
      </c>
      <c r="H39" s="22">
        <v>2.0</v>
      </c>
      <c r="I39" s="23" t="s">
        <v>55</v>
      </c>
    </row>
    <row r="40">
      <c r="A40" s="22">
        <v>109.0</v>
      </c>
      <c r="B40" s="18">
        <v>12000.0</v>
      </c>
      <c r="C40" s="18">
        <v>16000.0</v>
      </c>
      <c r="D40" s="19">
        <f t="shared" si="4"/>
        <v>1.333333333</v>
      </c>
      <c r="E40" s="20">
        <v>949.0</v>
      </c>
      <c r="F40" s="21">
        <f t="shared" si="5"/>
        <v>23</v>
      </c>
      <c r="G40" s="3">
        <f t="shared" si="6"/>
        <v>1</v>
      </c>
      <c r="H40" s="22">
        <v>2.0</v>
      </c>
      <c r="I40" s="23" t="s">
        <v>56</v>
      </c>
    </row>
    <row r="41">
      <c r="A41" s="22">
        <v>111.0</v>
      </c>
      <c r="B41" s="18">
        <v>1400.0</v>
      </c>
      <c r="C41" s="18">
        <v>1500.0</v>
      </c>
      <c r="D41" s="19">
        <f t="shared" si="4"/>
        <v>1.071428571</v>
      </c>
      <c r="E41" s="20">
        <v>872.0</v>
      </c>
      <c r="F41" s="21">
        <f t="shared" si="5"/>
        <v>14.8</v>
      </c>
      <c r="G41" s="3">
        <f t="shared" si="6"/>
        <v>1</v>
      </c>
      <c r="H41" s="22">
        <v>1.0</v>
      </c>
      <c r="I41" s="23" t="s">
        <v>57</v>
      </c>
    </row>
    <row r="42">
      <c r="A42" s="22">
        <v>112.0</v>
      </c>
      <c r="B42" s="18">
        <v>1800.0</v>
      </c>
      <c r="C42" s="18">
        <v>4800.0</v>
      </c>
      <c r="D42" s="19">
        <f t="shared" si="4"/>
        <v>2.666666667</v>
      </c>
      <c r="E42" s="20">
        <v>986.0</v>
      </c>
      <c r="F42" s="21">
        <f t="shared" si="5"/>
        <v>36.1</v>
      </c>
      <c r="G42" s="3">
        <f t="shared" si="6"/>
        <v>2</v>
      </c>
      <c r="H42" s="22">
        <v>2.0</v>
      </c>
      <c r="I42" s="23" t="s">
        <v>58</v>
      </c>
    </row>
    <row r="43">
      <c r="A43" s="22">
        <v>113.0</v>
      </c>
      <c r="B43" s="18">
        <v>1100000.0</v>
      </c>
      <c r="C43" s="18">
        <v>2500000.0</v>
      </c>
      <c r="D43" s="19">
        <f t="shared" si="4"/>
        <v>2.272727273</v>
      </c>
      <c r="E43" s="20">
        <v>1025.0</v>
      </c>
      <c r="F43" s="21">
        <f t="shared" si="5"/>
        <v>50.8</v>
      </c>
      <c r="G43" s="3">
        <f t="shared" si="6"/>
        <v>3</v>
      </c>
      <c r="H43" s="22">
        <v>3.0</v>
      </c>
      <c r="I43" s="23" t="s">
        <v>59</v>
      </c>
    </row>
    <row r="44">
      <c r="A44" s="22">
        <v>115.0</v>
      </c>
      <c r="B44" s="18">
        <v>14000.0</v>
      </c>
      <c r="C44" s="18">
        <v>40000.0</v>
      </c>
      <c r="D44" s="19">
        <f t="shared" si="4"/>
        <v>2.857142857</v>
      </c>
      <c r="E44" s="20">
        <v>1050.0</v>
      </c>
      <c r="F44" s="21">
        <f t="shared" si="5"/>
        <v>65.6</v>
      </c>
      <c r="G44" s="3">
        <f t="shared" si="6"/>
        <v>3</v>
      </c>
      <c r="H44" s="22">
        <v>3.0</v>
      </c>
      <c r="I44" s="23" t="s">
        <v>60</v>
      </c>
    </row>
    <row r="45">
      <c r="A45" s="22">
        <v>117.0</v>
      </c>
      <c r="B45" s="18">
        <v>1.5E7</v>
      </c>
      <c r="C45" s="18">
        <v>3.4E7</v>
      </c>
      <c r="D45" s="19">
        <f t="shared" si="4"/>
        <v>2.266666667</v>
      </c>
      <c r="E45" s="20">
        <v>954.0</v>
      </c>
      <c r="F45" s="21">
        <f t="shared" si="5"/>
        <v>24.6</v>
      </c>
      <c r="G45" s="3">
        <f t="shared" si="6"/>
        <v>1</v>
      </c>
      <c r="H45" s="22">
        <v>2.0</v>
      </c>
      <c r="I45" s="23" t="s">
        <v>61</v>
      </c>
    </row>
    <row r="46">
      <c r="A46" s="22">
        <v>118.0</v>
      </c>
      <c r="B46" s="18">
        <v>1440000.0</v>
      </c>
      <c r="C46" s="18">
        <v>2520000.0</v>
      </c>
      <c r="D46" s="19">
        <f t="shared" si="4"/>
        <v>1.75</v>
      </c>
      <c r="E46" s="20">
        <v>981.0</v>
      </c>
      <c r="F46" s="21">
        <f t="shared" si="5"/>
        <v>32.8</v>
      </c>
      <c r="G46" s="3">
        <f t="shared" si="6"/>
        <v>2</v>
      </c>
      <c r="H46" s="22">
        <v>3.0</v>
      </c>
      <c r="I46" s="23" t="s">
        <v>62</v>
      </c>
    </row>
    <row r="47">
      <c r="A47" s="22">
        <v>119.0</v>
      </c>
      <c r="B47" s="18">
        <v>1.9E9</v>
      </c>
      <c r="C47" s="18">
        <v>2.1E9</v>
      </c>
      <c r="D47" s="19">
        <f t="shared" si="4"/>
        <v>1.105263158</v>
      </c>
      <c r="E47" s="20">
        <v>959.0</v>
      </c>
      <c r="F47" s="21">
        <f t="shared" si="5"/>
        <v>27.9</v>
      </c>
      <c r="G47" s="3">
        <f t="shared" si="6"/>
        <v>2</v>
      </c>
      <c r="H47" s="22">
        <v>2.0</v>
      </c>
      <c r="I47" s="23" t="s">
        <v>63</v>
      </c>
    </row>
    <row r="48">
      <c r="A48" s="22">
        <v>120.0</v>
      </c>
      <c r="B48" s="18">
        <v>60000.0</v>
      </c>
      <c r="C48" s="18">
        <v>150000.0</v>
      </c>
      <c r="D48" s="19">
        <f t="shared" si="4"/>
        <v>2.5</v>
      </c>
      <c r="E48" s="20">
        <v>1389.0</v>
      </c>
      <c r="F48" s="21">
        <f t="shared" si="5"/>
        <v>100</v>
      </c>
      <c r="G48" s="3">
        <f t="shared" si="6"/>
        <v>4</v>
      </c>
      <c r="H48" s="22">
        <v>4.0</v>
      </c>
      <c r="I48" s="23" t="s">
        <v>64</v>
      </c>
    </row>
    <row r="49">
      <c r="A49" s="22">
        <v>121.0</v>
      </c>
      <c r="B49" s="18">
        <v>11000.0</v>
      </c>
      <c r="C49" s="18">
        <v>27000.0</v>
      </c>
      <c r="D49" s="19">
        <f t="shared" si="4"/>
        <v>2.454545455</v>
      </c>
      <c r="E49" s="20">
        <v>1021.0</v>
      </c>
      <c r="F49" s="21">
        <f t="shared" si="5"/>
        <v>49.2</v>
      </c>
      <c r="G49" s="3">
        <f t="shared" si="6"/>
        <v>2</v>
      </c>
      <c r="H49" s="22">
        <v>2.0</v>
      </c>
      <c r="I49" s="23" t="s">
        <v>65</v>
      </c>
    </row>
    <row r="50">
      <c r="A50" s="22">
        <v>123.0</v>
      </c>
      <c r="B50" s="18">
        <v>6.0E7</v>
      </c>
      <c r="C50" s="18">
        <v>1.2E8</v>
      </c>
      <c r="D50" s="19">
        <f t="shared" si="4"/>
        <v>2</v>
      </c>
      <c r="E50" s="20">
        <v>1081.0</v>
      </c>
      <c r="F50" s="21">
        <f t="shared" si="5"/>
        <v>75.4</v>
      </c>
      <c r="G50" s="3">
        <f t="shared" si="6"/>
        <v>4</v>
      </c>
      <c r="H50" s="22">
        <v>4.0</v>
      </c>
      <c r="I50" s="23" t="s">
        <v>66</v>
      </c>
    </row>
    <row r="51">
      <c r="A51" s="22">
        <v>124.0</v>
      </c>
      <c r="B51" s="18">
        <v>1.2E12</v>
      </c>
      <c r="C51" s="18">
        <v>3.2E12</v>
      </c>
      <c r="D51" s="19">
        <f t="shared" si="4"/>
        <v>2.666666667</v>
      </c>
      <c r="E51" s="20">
        <v>1181.0</v>
      </c>
      <c r="F51" s="21">
        <f t="shared" si="5"/>
        <v>90.2</v>
      </c>
      <c r="G51" s="3">
        <f t="shared" si="6"/>
        <v>4</v>
      </c>
      <c r="H51" s="22">
        <v>4.0</v>
      </c>
      <c r="I51" s="23" t="s">
        <v>67</v>
      </c>
    </row>
    <row r="52">
      <c r="A52" s="22">
        <v>127.0</v>
      </c>
      <c r="B52" s="18">
        <v>40.0</v>
      </c>
      <c r="C52" s="18">
        <v>60.0</v>
      </c>
      <c r="D52" s="19">
        <f t="shared" si="4"/>
        <v>1.5</v>
      </c>
      <c r="E52" s="20">
        <v>921.0</v>
      </c>
      <c r="F52" s="21">
        <f t="shared" si="5"/>
        <v>19.7</v>
      </c>
      <c r="G52" s="3">
        <f t="shared" si="6"/>
        <v>1</v>
      </c>
      <c r="H52" s="22">
        <v>2.0</v>
      </c>
      <c r="I52" s="23" t="s">
        <v>68</v>
      </c>
    </row>
    <row r="53">
      <c r="A53" s="22">
        <v>128.0</v>
      </c>
      <c r="B53" s="18">
        <v>8.5E7</v>
      </c>
      <c r="C53" s="18">
        <v>1.75E8</v>
      </c>
      <c r="D53" s="19">
        <f t="shared" si="4"/>
        <v>2.058823529</v>
      </c>
      <c r="E53" s="20">
        <v>974.0</v>
      </c>
      <c r="F53" s="21">
        <f t="shared" si="5"/>
        <v>29.5</v>
      </c>
      <c r="G53" s="3">
        <f t="shared" si="6"/>
        <v>2</v>
      </c>
      <c r="H53" s="22">
        <v>2.0</v>
      </c>
      <c r="I53" s="23" t="s">
        <v>69</v>
      </c>
    </row>
    <row r="54">
      <c r="A54" s="22">
        <v>129.0</v>
      </c>
      <c r="B54" s="18">
        <v>7500.0</v>
      </c>
      <c r="C54" s="18">
        <v>19000.0</v>
      </c>
      <c r="D54" s="19">
        <f t="shared" si="4"/>
        <v>2.533333333</v>
      </c>
      <c r="E54" s="20">
        <v>991.0</v>
      </c>
      <c r="F54" s="21">
        <f t="shared" si="5"/>
        <v>37.7</v>
      </c>
      <c r="G54" s="3">
        <f t="shared" si="6"/>
        <v>2</v>
      </c>
      <c r="H54" s="22">
        <v>2.0</v>
      </c>
      <c r="I54" s="23" t="s">
        <v>70</v>
      </c>
    </row>
    <row r="55">
      <c r="A55" s="5">
        <v>130.0</v>
      </c>
      <c r="B55" s="18">
        <v>20000.0</v>
      </c>
      <c r="C55" s="18">
        <v>60000.0</v>
      </c>
      <c r="D55" s="19">
        <f t="shared" si="4"/>
        <v>3</v>
      </c>
      <c r="E55" s="20">
        <v>1046.0</v>
      </c>
      <c r="F55" s="21">
        <f t="shared" si="5"/>
        <v>62.3</v>
      </c>
      <c r="G55" s="3">
        <f t="shared" si="6"/>
        <v>3</v>
      </c>
      <c r="H55" s="20">
        <v>3.0</v>
      </c>
      <c r="I55" s="5" t="s">
        <v>71</v>
      </c>
    </row>
    <row r="56">
      <c r="A56" s="22">
        <v>131.0</v>
      </c>
      <c r="B56" s="18">
        <v>83000.0</v>
      </c>
      <c r="C56" s="18">
        <v>88000.0</v>
      </c>
      <c r="D56" s="19">
        <f t="shared" si="4"/>
        <v>1.060240964</v>
      </c>
      <c r="E56" s="20">
        <v>856.0</v>
      </c>
      <c r="F56" s="21">
        <f t="shared" si="5"/>
        <v>11.5</v>
      </c>
      <c r="G56" s="3">
        <f t="shared" si="6"/>
        <v>1</v>
      </c>
      <c r="H56" s="20">
        <v>1.0</v>
      </c>
      <c r="I56" s="5" t="s">
        <v>72</v>
      </c>
    </row>
    <row r="57">
      <c r="A57" s="5">
        <v>132.0</v>
      </c>
      <c r="B57" s="18">
        <v>2.0E7</v>
      </c>
      <c r="C57" s="18">
        <v>5.0E7</v>
      </c>
      <c r="D57" s="19">
        <f t="shared" si="4"/>
        <v>2.5</v>
      </c>
      <c r="E57" s="20">
        <v>1060.0</v>
      </c>
      <c r="F57" s="21">
        <f t="shared" si="5"/>
        <v>67.2</v>
      </c>
      <c r="G57" s="3">
        <f t="shared" si="6"/>
        <v>3</v>
      </c>
      <c r="H57" s="20">
        <v>3.0</v>
      </c>
      <c r="I57" s="5" t="s">
        <v>73</v>
      </c>
    </row>
    <row r="58">
      <c r="A58" s="22">
        <v>133.0</v>
      </c>
      <c r="B58" s="18">
        <v>150000.0</v>
      </c>
      <c r="C58" s="18">
        <v>300000.0</v>
      </c>
      <c r="D58" s="19">
        <f t="shared" si="4"/>
        <v>2</v>
      </c>
      <c r="E58" s="20">
        <v>982.0</v>
      </c>
      <c r="F58" s="21">
        <f t="shared" si="5"/>
        <v>34.4</v>
      </c>
      <c r="G58" s="3">
        <f t="shared" si="6"/>
        <v>2</v>
      </c>
      <c r="H58" s="20">
        <v>2.0</v>
      </c>
      <c r="I58" s="5" t="s">
        <v>74</v>
      </c>
    </row>
    <row r="59">
      <c r="A59" s="5">
        <v>134.0</v>
      </c>
      <c r="B59" s="18">
        <v>1.2E8</v>
      </c>
      <c r="C59" s="18">
        <v>4.0E8</v>
      </c>
      <c r="D59" s="19">
        <f t="shared" si="4"/>
        <v>3.333333333</v>
      </c>
      <c r="E59" s="20">
        <v>1259.0</v>
      </c>
      <c r="F59" s="21">
        <f t="shared" si="5"/>
        <v>95.1</v>
      </c>
      <c r="G59" s="3">
        <f t="shared" si="6"/>
        <v>4</v>
      </c>
      <c r="H59" s="20">
        <v>4.0</v>
      </c>
      <c r="I59" s="5" t="s">
        <v>75</v>
      </c>
    </row>
    <row r="60">
      <c r="A60" s="22">
        <v>135.0</v>
      </c>
      <c r="B60" s="18">
        <v>800.0</v>
      </c>
      <c r="C60" s="18">
        <v>2000.0</v>
      </c>
      <c r="D60" s="19">
        <f t="shared" si="4"/>
        <v>2.5</v>
      </c>
      <c r="E60" s="20">
        <v>1043.0</v>
      </c>
      <c r="F60" s="21">
        <f t="shared" si="5"/>
        <v>60.7</v>
      </c>
      <c r="G60" s="3">
        <f t="shared" si="6"/>
        <v>3</v>
      </c>
      <c r="H60" s="20">
        <v>3.0</v>
      </c>
      <c r="I60" s="5" t="s">
        <v>76</v>
      </c>
    </row>
    <row r="61">
      <c r="A61" s="5">
        <v>136.0</v>
      </c>
      <c r="B61" s="18">
        <v>180000.0</v>
      </c>
      <c r="C61" s="18">
        <v>400000.0</v>
      </c>
      <c r="D61" s="19">
        <f t="shared" si="4"/>
        <v>2.222222222</v>
      </c>
      <c r="E61" s="20">
        <v>1089.0</v>
      </c>
      <c r="F61" s="21">
        <f t="shared" si="5"/>
        <v>82</v>
      </c>
      <c r="G61" s="3">
        <f t="shared" si="6"/>
        <v>4</v>
      </c>
      <c r="H61" s="20">
        <v>4.0</v>
      </c>
      <c r="I61" s="5" t="s">
        <v>77</v>
      </c>
    </row>
    <row r="62">
      <c r="A62" s="22">
        <v>137.0</v>
      </c>
      <c r="B62" s="18">
        <v>2500.0</v>
      </c>
      <c r="C62" s="18">
        <v>6000.0</v>
      </c>
      <c r="D62" s="19">
        <f t="shared" si="4"/>
        <v>2.4</v>
      </c>
      <c r="E62" s="20">
        <v>1016.0</v>
      </c>
      <c r="F62" s="21">
        <f t="shared" si="5"/>
        <v>45.9</v>
      </c>
      <c r="G62" s="3">
        <f t="shared" si="6"/>
        <v>2</v>
      </c>
      <c r="H62" s="20">
        <v>3.0</v>
      </c>
      <c r="I62" s="5" t="s">
        <v>78</v>
      </c>
    </row>
    <row r="63">
      <c r="A63" s="5">
        <v>138.0</v>
      </c>
      <c r="B63" s="18">
        <v>25000.0</v>
      </c>
      <c r="C63" s="18">
        <v>80000.0</v>
      </c>
      <c r="D63" s="19">
        <f t="shared" si="4"/>
        <v>3.2</v>
      </c>
      <c r="E63" s="20">
        <v>1086.0</v>
      </c>
      <c r="F63" s="21">
        <f t="shared" si="5"/>
        <v>78.7</v>
      </c>
      <c r="G63" s="3">
        <f t="shared" si="6"/>
        <v>4</v>
      </c>
      <c r="H63" s="20">
        <v>4.0</v>
      </c>
      <c r="I63" s="5" t="s">
        <v>79</v>
      </c>
    </row>
    <row r="64">
      <c r="A64" s="22">
        <v>139.0</v>
      </c>
      <c r="B64" s="18">
        <v>800.0</v>
      </c>
      <c r="C64" s="18">
        <v>2500.0</v>
      </c>
      <c r="D64" s="19">
        <f t="shared" si="4"/>
        <v>3.125</v>
      </c>
      <c r="E64" s="20">
        <v>1015.0</v>
      </c>
      <c r="F64" s="21">
        <f t="shared" si="5"/>
        <v>44.3</v>
      </c>
      <c r="G64" s="3">
        <f t="shared" si="6"/>
        <v>2</v>
      </c>
      <c r="H64" s="20">
        <v>3.0</v>
      </c>
      <c r="I64" s="5" t="s">
        <v>80</v>
      </c>
    </row>
    <row r="65">
      <c r="G65" s="3"/>
    </row>
    <row r="66">
      <c r="A66" s="5">
        <v>200.0</v>
      </c>
      <c r="B66" s="24">
        <v>250.0</v>
      </c>
      <c r="C66" s="24">
        <v>400.0</v>
      </c>
      <c r="D66" s="25">
        <v>1.6</v>
      </c>
      <c r="F66" s="21" t="str">
        <f t="shared" ref="F66:F67" si="7">ROUND(_xlfn.PERCENTRANK.INC(E:E, E66)*100, 1)</f>
        <v>#N/A</v>
      </c>
      <c r="G66" s="3" t="str">
        <f t="shared" ref="G66:G67" si="8">IFS(F66&gt;75, 4, F66&gt;50, 3, F66&gt;25, 2, TRUE, 1)</f>
        <v>#N/A</v>
      </c>
      <c r="H66" s="5">
        <v>3.0</v>
      </c>
      <c r="I66" s="5" t="s">
        <v>81</v>
      </c>
    </row>
    <row r="67">
      <c r="A67" s="5">
        <v>201.0</v>
      </c>
      <c r="B67" s="24">
        <v>300000.0</v>
      </c>
      <c r="C67" s="24">
        <v>500000.0</v>
      </c>
      <c r="D67" s="25">
        <v>1.67</v>
      </c>
      <c r="F67" s="21" t="str">
        <f t="shared" si="7"/>
        <v>#N/A</v>
      </c>
      <c r="G67" s="3" t="str">
        <f t="shared" si="8"/>
        <v>#N/A</v>
      </c>
      <c r="H67" s="5">
        <v>4.0</v>
      </c>
      <c r="I67" s="5" t="s">
        <v>82</v>
      </c>
    </row>
    <row r="68">
      <c r="B68" s="26"/>
      <c r="C68" s="26"/>
      <c r="D68" s="27"/>
    </row>
    <row r="69">
      <c r="B69" s="26"/>
      <c r="C69" s="26"/>
      <c r="D69" s="27"/>
    </row>
    <row r="70">
      <c r="B70" s="26"/>
      <c r="C70" s="26"/>
      <c r="D70" s="27"/>
    </row>
    <row r="71">
      <c r="B71" s="26"/>
      <c r="C71" s="26"/>
      <c r="D71" s="27"/>
    </row>
    <row r="72">
      <c r="B72" s="26"/>
      <c r="C72" s="26"/>
      <c r="D72" s="27"/>
    </row>
    <row r="73">
      <c r="B73" s="26"/>
      <c r="C73" s="26"/>
      <c r="D73" s="27"/>
    </row>
    <row r="74">
      <c r="B74" s="26"/>
      <c r="C74" s="26"/>
      <c r="D74" s="27"/>
    </row>
    <row r="75">
      <c r="B75" s="26"/>
      <c r="C75" s="26"/>
      <c r="D75" s="27"/>
    </row>
    <row r="76">
      <c r="B76" s="26"/>
      <c r="C76" s="26"/>
      <c r="D76" s="27"/>
    </row>
    <row r="77">
      <c r="B77" s="26"/>
      <c r="C77" s="26"/>
      <c r="D77" s="27"/>
    </row>
    <row r="78">
      <c r="B78" s="26"/>
      <c r="C78" s="26"/>
      <c r="D78" s="27"/>
    </row>
    <row r="79">
      <c r="B79" s="26"/>
      <c r="C79" s="26"/>
      <c r="D79" s="27"/>
    </row>
    <row r="80">
      <c r="B80" s="26"/>
      <c r="C80" s="26"/>
      <c r="D80" s="27"/>
    </row>
    <row r="81">
      <c r="B81" s="26"/>
      <c r="C81" s="26"/>
      <c r="D81" s="27"/>
    </row>
    <row r="82">
      <c r="B82" s="26"/>
      <c r="C82" s="26"/>
      <c r="D82" s="27"/>
    </row>
    <row r="83">
      <c r="B83" s="26"/>
      <c r="C83" s="26"/>
      <c r="D83" s="27"/>
    </row>
    <row r="84">
      <c r="B84" s="26"/>
      <c r="C84" s="26"/>
      <c r="D84" s="27"/>
    </row>
    <row r="85">
      <c r="B85" s="26"/>
      <c r="C85" s="26"/>
      <c r="D85" s="27"/>
    </row>
    <row r="86">
      <c r="B86" s="26"/>
      <c r="C86" s="26"/>
      <c r="D86" s="27"/>
    </row>
    <row r="87">
      <c r="B87" s="26"/>
      <c r="C87" s="26"/>
      <c r="D87" s="27"/>
    </row>
    <row r="88">
      <c r="B88" s="26"/>
      <c r="C88" s="26"/>
      <c r="D88" s="27"/>
    </row>
    <row r="89">
      <c r="B89" s="26"/>
      <c r="C89" s="26"/>
      <c r="D89" s="27"/>
    </row>
    <row r="90">
      <c r="B90" s="26"/>
      <c r="C90" s="26"/>
      <c r="D90" s="27"/>
    </row>
    <row r="91">
      <c r="B91" s="26"/>
      <c r="C91" s="26"/>
      <c r="D91" s="27"/>
    </row>
    <row r="92">
      <c r="B92" s="26"/>
      <c r="C92" s="26"/>
      <c r="D92" s="27"/>
    </row>
    <row r="93">
      <c r="B93" s="26"/>
      <c r="C93" s="26"/>
      <c r="D93" s="27"/>
    </row>
    <row r="94">
      <c r="B94" s="26"/>
      <c r="C94" s="26"/>
      <c r="D94" s="27"/>
    </row>
    <row r="95">
      <c r="B95" s="26"/>
      <c r="C95" s="26"/>
      <c r="D95" s="27"/>
    </row>
    <row r="96">
      <c r="B96" s="26"/>
      <c r="C96" s="26"/>
      <c r="D96" s="27"/>
    </row>
    <row r="97">
      <c r="B97" s="26"/>
      <c r="C97" s="26"/>
      <c r="D97" s="27"/>
    </row>
    <row r="98">
      <c r="B98" s="26"/>
      <c r="C98" s="26"/>
      <c r="D98" s="27"/>
    </row>
    <row r="99">
      <c r="B99" s="26"/>
      <c r="C99" s="26"/>
      <c r="D99" s="27"/>
    </row>
    <row r="100">
      <c r="B100" s="26"/>
      <c r="C100" s="26"/>
      <c r="D100" s="27"/>
    </row>
    <row r="101">
      <c r="B101" s="26"/>
      <c r="C101" s="26"/>
      <c r="D101" s="27"/>
    </row>
    <row r="102">
      <c r="B102" s="26"/>
      <c r="C102" s="26"/>
      <c r="D102" s="27"/>
    </row>
    <row r="103">
      <c r="B103" s="26"/>
      <c r="C103" s="26"/>
      <c r="D103" s="27"/>
    </row>
    <row r="104">
      <c r="B104" s="26"/>
      <c r="C104" s="26"/>
      <c r="D104" s="27"/>
    </row>
    <row r="105">
      <c r="B105" s="26"/>
      <c r="C105" s="26"/>
      <c r="D105" s="27"/>
    </row>
    <row r="106">
      <c r="B106" s="26"/>
      <c r="C106" s="26"/>
      <c r="D106" s="27"/>
    </row>
    <row r="107">
      <c r="B107" s="26"/>
      <c r="C107" s="26"/>
      <c r="D107" s="27"/>
    </row>
    <row r="108">
      <c r="B108" s="26"/>
      <c r="C108" s="26"/>
      <c r="D108" s="27"/>
    </row>
    <row r="109">
      <c r="B109" s="26"/>
      <c r="C109" s="26"/>
      <c r="D109" s="27"/>
    </row>
    <row r="110">
      <c r="B110" s="26"/>
      <c r="C110" s="26"/>
      <c r="D110" s="27"/>
    </row>
    <row r="111">
      <c r="B111" s="26"/>
      <c r="C111" s="26"/>
      <c r="D111" s="27"/>
    </row>
    <row r="112">
      <c r="B112" s="26"/>
      <c r="C112" s="26"/>
      <c r="D112" s="27"/>
    </row>
    <row r="113">
      <c r="B113" s="26"/>
      <c r="C113" s="26"/>
      <c r="D113" s="27"/>
    </row>
    <row r="114">
      <c r="B114" s="26"/>
      <c r="C114" s="26"/>
      <c r="D114" s="27"/>
    </row>
    <row r="115">
      <c r="B115" s="26"/>
      <c r="C115" s="26"/>
      <c r="D115" s="27"/>
    </row>
    <row r="116">
      <c r="B116" s="26"/>
      <c r="C116" s="26"/>
      <c r="D116" s="27"/>
    </row>
    <row r="117">
      <c r="B117" s="26"/>
      <c r="C117" s="26"/>
      <c r="D117" s="27"/>
    </row>
    <row r="118">
      <c r="B118" s="26"/>
      <c r="C118" s="26"/>
      <c r="D118" s="27"/>
    </row>
    <row r="119">
      <c r="B119" s="26"/>
      <c r="C119" s="26"/>
      <c r="D119" s="27"/>
    </row>
    <row r="120">
      <c r="B120" s="26"/>
      <c r="C120" s="26"/>
      <c r="D120" s="27"/>
    </row>
    <row r="121">
      <c r="B121" s="26"/>
      <c r="C121" s="26"/>
      <c r="D121" s="27"/>
    </row>
    <row r="122">
      <c r="B122" s="26"/>
      <c r="C122" s="26"/>
      <c r="D122" s="27"/>
    </row>
    <row r="123">
      <c r="B123" s="26"/>
      <c r="C123" s="26"/>
      <c r="D123" s="27"/>
    </row>
    <row r="124">
      <c r="B124" s="26"/>
      <c r="C124" s="26"/>
      <c r="D124" s="27"/>
    </row>
    <row r="125">
      <c r="B125" s="26"/>
      <c r="C125" s="26"/>
      <c r="D125" s="27"/>
    </row>
    <row r="126">
      <c r="B126" s="26"/>
      <c r="C126" s="26"/>
      <c r="D126" s="27"/>
    </row>
    <row r="127">
      <c r="B127" s="26"/>
      <c r="C127" s="26"/>
      <c r="D127" s="27"/>
    </row>
    <row r="128">
      <c r="B128" s="26"/>
      <c r="C128" s="26"/>
      <c r="D128" s="27"/>
    </row>
    <row r="129">
      <c r="B129" s="26"/>
      <c r="C129" s="26"/>
      <c r="D129" s="27"/>
    </row>
    <row r="130">
      <c r="B130" s="26"/>
      <c r="C130" s="26"/>
      <c r="D130" s="27"/>
    </row>
    <row r="131">
      <c r="B131" s="26"/>
      <c r="C131" s="26"/>
      <c r="D131" s="27"/>
    </row>
    <row r="132">
      <c r="B132" s="26"/>
      <c r="C132" s="26"/>
      <c r="D132" s="27"/>
    </row>
    <row r="133">
      <c r="B133" s="26"/>
      <c r="C133" s="26"/>
      <c r="D133" s="27"/>
    </row>
    <row r="134">
      <c r="B134" s="26"/>
      <c r="C134" s="26"/>
      <c r="D134" s="27"/>
    </row>
    <row r="135">
      <c r="B135" s="26"/>
      <c r="C135" s="26"/>
      <c r="D135" s="27"/>
    </row>
    <row r="136">
      <c r="B136" s="26"/>
      <c r="C136" s="26"/>
      <c r="D136" s="27"/>
    </row>
    <row r="137">
      <c r="B137" s="26"/>
      <c r="C137" s="26"/>
      <c r="D137" s="27"/>
    </row>
    <row r="138">
      <c r="B138" s="26"/>
      <c r="C138" s="26"/>
      <c r="D138" s="27"/>
    </row>
    <row r="139">
      <c r="B139" s="26"/>
      <c r="C139" s="26"/>
      <c r="D139" s="27"/>
    </row>
    <row r="140">
      <c r="B140" s="26"/>
      <c r="C140" s="26"/>
      <c r="D140" s="27"/>
    </row>
    <row r="141">
      <c r="B141" s="26"/>
      <c r="C141" s="26"/>
      <c r="D141" s="27"/>
    </row>
    <row r="142">
      <c r="B142" s="26"/>
      <c r="C142" s="26"/>
      <c r="D142" s="27"/>
    </row>
    <row r="143">
      <c r="B143" s="26"/>
      <c r="C143" s="26"/>
      <c r="D143" s="27"/>
    </row>
    <row r="144">
      <c r="B144" s="26"/>
      <c r="C144" s="26"/>
      <c r="D144" s="27"/>
    </row>
    <row r="145">
      <c r="B145" s="26"/>
      <c r="C145" s="26"/>
      <c r="D145" s="27"/>
    </row>
    <row r="146">
      <c r="B146" s="26"/>
      <c r="C146" s="26"/>
      <c r="D146" s="27"/>
    </row>
    <row r="147">
      <c r="B147" s="26"/>
      <c r="C147" s="26"/>
      <c r="D147" s="27"/>
    </row>
    <row r="148">
      <c r="B148" s="26"/>
      <c r="C148" s="26"/>
      <c r="D148" s="27"/>
    </row>
    <row r="149">
      <c r="B149" s="26"/>
      <c r="C149" s="26"/>
      <c r="D149" s="27"/>
    </row>
    <row r="150">
      <c r="B150" s="26"/>
      <c r="C150" s="26"/>
      <c r="D150" s="27"/>
    </row>
    <row r="151">
      <c r="B151" s="26"/>
      <c r="C151" s="26"/>
      <c r="D151" s="27"/>
    </row>
    <row r="152">
      <c r="B152" s="26"/>
      <c r="C152" s="26"/>
      <c r="D152" s="27"/>
    </row>
    <row r="153">
      <c r="B153" s="26"/>
      <c r="C153" s="26"/>
      <c r="D153" s="27"/>
    </row>
    <row r="154">
      <c r="B154" s="26"/>
      <c r="C154" s="26"/>
      <c r="D154" s="27"/>
    </row>
    <row r="155">
      <c r="B155" s="26"/>
      <c r="C155" s="26"/>
      <c r="D155" s="27"/>
    </row>
    <row r="156">
      <c r="B156" s="26"/>
      <c r="C156" s="26"/>
      <c r="D156" s="27"/>
    </row>
    <row r="157">
      <c r="B157" s="26"/>
      <c r="C157" s="26"/>
      <c r="D157" s="27"/>
    </row>
    <row r="158">
      <c r="B158" s="26"/>
      <c r="C158" s="26"/>
      <c r="D158" s="27"/>
    </row>
    <row r="159">
      <c r="B159" s="26"/>
      <c r="C159" s="26"/>
      <c r="D159" s="27"/>
    </row>
    <row r="160">
      <c r="B160" s="26"/>
      <c r="C160" s="26"/>
      <c r="D160" s="27"/>
    </row>
    <row r="161">
      <c r="B161" s="26"/>
      <c r="C161" s="26"/>
      <c r="D161" s="27"/>
    </row>
    <row r="162">
      <c r="B162" s="26"/>
      <c r="C162" s="26"/>
      <c r="D162" s="27"/>
    </row>
    <row r="163">
      <c r="B163" s="26"/>
      <c r="C163" s="26"/>
      <c r="D163" s="27"/>
    </row>
    <row r="164">
      <c r="B164" s="26"/>
      <c r="C164" s="26"/>
      <c r="D164" s="27"/>
    </row>
    <row r="165">
      <c r="B165" s="26"/>
      <c r="C165" s="26"/>
      <c r="D165" s="27"/>
    </row>
    <row r="166">
      <c r="B166" s="26"/>
      <c r="C166" s="26"/>
      <c r="D166" s="27"/>
    </row>
    <row r="167">
      <c r="B167" s="26"/>
      <c r="C167" s="26"/>
      <c r="D167" s="27"/>
    </row>
    <row r="168">
      <c r="B168" s="26"/>
      <c r="C168" s="26"/>
      <c r="D168" s="27"/>
    </row>
    <row r="169">
      <c r="B169" s="26"/>
      <c r="C169" s="26"/>
      <c r="D169" s="27"/>
    </row>
    <row r="170">
      <c r="B170" s="26"/>
      <c r="C170" s="26"/>
      <c r="D170" s="27"/>
    </row>
    <row r="171">
      <c r="B171" s="26"/>
      <c r="C171" s="26"/>
      <c r="D171" s="27"/>
    </row>
    <row r="172">
      <c r="B172" s="26"/>
      <c r="C172" s="26"/>
      <c r="D172" s="27"/>
    </row>
    <row r="173">
      <c r="B173" s="26"/>
      <c r="C173" s="26"/>
      <c r="D173" s="27"/>
    </row>
    <row r="174">
      <c r="B174" s="26"/>
      <c r="C174" s="26"/>
      <c r="D174" s="27"/>
    </row>
    <row r="175">
      <c r="B175" s="26"/>
      <c r="C175" s="26"/>
      <c r="D175" s="27"/>
    </row>
    <row r="176">
      <c r="B176" s="26"/>
      <c r="C176" s="26"/>
      <c r="D176" s="27"/>
    </row>
    <row r="177">
      <c r="B177" s="26"/>
      <c r="C177" s="26"/>
      <c r="D177" s="27"/>
    </row>
    <row r="178">
      <c r="B178" s="26"/>
      <c r="C178" s="26"/>
      <c r="D178" s="27"/>
    </row>
    <row r="179">
      <c r="B179" s="26"/>
      <c r="C179" s="26"/>
      <c r="D179" s="27"/>
    </row>
    <row r="180">
      <c r="B180" s="26"/>
      <c r="C180" s="26"/>
      <c r="D180" s="27"/>
    </row>
    <row r="181">
      <c r="B181" s="26"/>
      <c r="C181" s="26"/>
      <c r="D181" s="27"/>
    </row>
    <row r="182">
      <c r="B182" s="26"/>
      <c r="C182" s="26"/>
      <c r="D182" s="27"/>
    </row>
    <row r="183">
      <c r="B183" s="26"/>
      <c r="C183" s="26"/>
      <c r="D183" s="27"/>
    </row>
    <row r="184">
      <c r="B184" s="26"/>
      <c r="C184" s="26"/>
      <c r="D184" s="27"/>
    </row>
    <row r="185">
      <c r="B185" s="26"/>
      <c r="C185" s="26"/>
      <c r="D185" s="27"/>
    </row>
    <row r="186">
      <c r="B186" s="26"/>
      <c r="C186" s="26"/>
      <c r="D186" s="27"/>
    </row>
    <row r="187">
      <c r="B187" s="26"/>
      <c r="C187" s="26"/>
      <c r="D187" s="27"/>
    </row>
    <row r="188">
      <c r="B188" s="26"/>
      <c r="C188" s="26"/>
      <c r="D188" s="27"/>
    </row>
    <row r="189">
      <c r="B189" s="26"/>
      <c r="C189" s="26"/>
      <c r="D189" s="27"/>
    </row>
    <row r="190">
      <c r="B190" s="26"/>
      <c r="C190" s="26"/>
      <c r="D190" s="27"/>
    </row>
    <row r="191">
      <c r="B191" s="26"/>
      <c r="C191" s="26"/>
      <c r="D191" s="27"/>
    </row>
    <row r="192">
      <c r="B192" s="26"/>
      <c r="C192" s="26"/>
      <c r="D192" s="27"/>
    </row>
    <row r="193">
      <c r="B193" s="26"/>
      <c r="C193" s="26"/>
      <c r="D193" s="27"/>
    </row>
    <row r="194">
      <c r="B194" s="26"/>
      <c r="C194" s="26"/>
      <c r="D194" s="27"/>
    </row>
    <row r="195">
      <c r="B195" s="26"/>
      <c r="C195" s="26"/>
      <c r="D195" s="27"/>
    </row>
    <row r="196">
      <c r="B196" s="26"/>
      <c r="C196" s="26"/>
      <c r="D196" s="27"/>
    </row>
    <row r="197">
      <c r="B197" s="26"/>
      <c r="C197" s="26"/>
      <c r="D197" s="27"/>
    </row>
    <row r="198">
      <c r="B198" s="26"/>
      <c r="C198" s="26"/>
      <c r="D198" s="27"/>
    </row>
    <row r="199">
      <c r="B199" s="26"/>
      <c r="C199" s="26"/>
      <c r="D199" s="27"/>
    </row>
    <row r="200">
      <c r="B200" s="26"/>
      <c r="C200" s="26"/>
      <c r="D200" s="27"/>
    </row>
    <row r="201">
      <c r="B201" s="26"/>
      <c r="C201" s="26"/>
      <c r="D201" s="27"/>
    </row>
    <row r="202">
      <c r="B202" s="26"/>
      <c r="C202" s="26"/>
      <c r="D202" s="27"/>
    </row>
    <row r="203">
      <c r="B203" s="26"/>
      <c r="C203" s="26"/>
      <c r="D203" s="27"/>
    </row>
    <row r="204">
      <c r="B204" s="26"/>
      <c r="C204" s="26"/>
      <c r="D204" s="27"/>
    </row>
    <row r="205">
      <c r="B205" s="26"/>
      <c r="C205" s="26"/>
      <c r="D205" s="27"/>
    </row>
    <row r="206">
      <c r="B206" s="26"/>
      <c r="C206" s="26"/>
      <c r="D206" s="27"/>
    </row>
    <row r="207">
      <c r="B207" s="26"/>
      <c r="C207" s="26"/>
      <c r="D207" s="27"/>
    </row>
    <row r="208">
      <c r="B208" s="26"/>
      <c r="C208" s="26"/>
      <c r="D208" s="27"/>
    </row>
    <row r="209">
      <c r="B209" s="26"/>
      <c r="C209" s="26"/>
      <c r="D209" s="27"/>
    </row>
    <row r="210">
      <c r="B210" s="26"/>
      <c r="C210" s="26"/>
      <c r="D210" s="27"/>
    </row>
    <row r="211">
      <c r="B211" s="26"/>
      <c r="C211" s="26"/>
      <c r="D211" s="27"/>
    </row>
    <row r="212">
      <c r="B212" s="26"/>
      <c r="C212" s="26"/>
      <c r="D212" s="27"/>
    </row>
    <row r="213">
      <c r="B213" s="26"/>
      <c r="C213" s="26"/>
      <c r="D213" s="27"/>
    </row>
    <row r="214">
      <c r="B214" s="26"/>
      <c r="C214" s="26"/>
      <c r="D214" s="27"/>
    </row>
    <row r="215">
      <c r="B215" s="26"/>
      <c r="C215" s="26"/>
      <c r="D215" s="27"/>
    </row>
    <row r="216">
      <c r="B216" s="26"/>
      <c r="C216" s="26"/>
      <c r="D216" s="27"/>
    </row>
    <row r="217">
      <c r="B217" s="26"/>
      <c r="C217" s="26"/>
      <c r="D217" s="27"/>
    </row>
    <row r="218">
      <c r="B218" s="26"/>
      <c r="C218" s="26"/>
      <c r="D218" s="27"/>
    </row>
    <row r="219">
      <c r="B219" s="26"/>
      <c r="C219" s="26"/>
      <c r="D219" s="27"/>
    </row>
    <row r="220">
      <c r="B220" s="26"/>
      <c r="C220" s="26"/>
      <c r="D220" s="27"/>
    </row>
    <row r="221">
      <c r="B221" s="26"/>
      <c r="C221" s="26"/>
      <c r="D221" s="27"/>
    </row>
    <row r="222">
      <c r="B222" s="26"/>
      <c r="C222" s="26"/>
      <c r="D222" s="27"/>
    </row>
    <row r="223">
      <c r="B223" s="26"/>
      <c r="C223" s="26"/>
      <c r="D223" s="27"/>
    </row>
    <row r="224">
      <c r="B224" s="26"/>
      <c r="C224" s="26"/>
      <c r="D224" s="27"/>
    </row>
    <row r="225">
      <c r="B225" s="26"/>
      <c r="C225" s="26"/>
      <c r="D225" s="27"/>
    </row>
    <row r="226">
      <c r="B226" s="26"/>
      <c r="C226" s="26"/>
      <c r="D226" s="27"/>
    </row>
    <row r="227">
      <c r="B227" s="26"/>
      <c r="C227" s="26"/>
      <c r="D227" s="27"/>
    </row>
    <row r="228">
      <c r="B228" s="26"/>
      <c r="C228" s="26"/>
      <c r="D228" s="27"/>
    </row>
    <row r="229">
      <c r="B229" s="26"/>
      <c r="C229" s="26"/>
      <c r="D229" s="27"/>
    </row>
    <row r="230">
      <c r="B230" s="26"/>
      <c r="C230" s="26"/>
      <c r="D230" s="27"/>
    </row>
    <row r="231">
      <c r="B231" s="26"/>
      <c r="C231" s="26"/>
      <c r="D231" s="27"/>
    </row>
    <row r="232">
      <c r="B232" s="26"/>
      <c r="C232" s="26"/>
      <c r="D232" s="27"/>
    </row>
    <row r="233">
      <c r="B233" s="26"/>
      <c r="C233" s="26"/>
      <c r="D233" s="27"/>
    </row>
    <row r="234">
      <c r="B234" s="26"/>
      <c r="C234" s="26"/>
      <c r="D234" s="27"/>
    </row>
    <row r="235">
      <c r="B235" s="26"/>
      <c r="C235" s="26"/>
      <c r="D235" s="27"/>
    </row>
    <row r="236">
      <c r="B236" s="26"/>
      <c r="C236" s="26"/>
      <c r="D236" s="27"/>
    </row>
    <row r="237">
      <c r="B237" s="26"/>
      <c r="C237" s="26"/>
      <c r="D237" s="27"/>
    </row>
    <row r="238">
      <c r="B238" s="26"/>
      <c r="C238" s="26"/>
      <c r="D238" s="27"/>
    </row>
    <row r="239">
      <c r="B239" s="26"/>
      <c r="C239" s="26"/>
      <c r="D239" s="27"/>
    </row>
    <row r="240">
      <c r="B240" s="26"/>
      <c r="C240" s="26"/>
      <c r="D240" s="27"/>
    </row>
    <row r="241">
      <c r="B241" s="26"/>
      <c r="C241" s="26"/>
      <c r="D241" s="27"/>
    </row>
    <row r="242">
      <c r="B242" s="26"/>
      <c r="C242" s="26"/>
      <c r="D242" s="27"/>
    </row>
    <row r="243">
      <c r="B243" s="26"/>
      <c r="C243" s="26"/>
      <c r="D243" s="27"/>
    </row>
    <row r="244">
      <c r="B244" s="26"/>
      <c r="C244" s="26"/>
      <c r="D244" s="27"/>
    </row>
    <row r="245">
      <c r="B245" s="26"/>
      <c r="C245" s="26"/>
      <c r="D245" s="27"/>
    </row>
    <row r="246">
      <c r="B246" s="26"/>
      <c r="C246" s="26"/>
      <c r="D246" s="27"/>
    </row>
    <row r="247">
      <c r="B247" s="26"/>
      <c r="C247" s="26"/>
      <c r="D247" s="27"/>
    </row>
    <row r="248">
      <c r="B248" s="26"/>
      <c r="C248" s="26"/>
      <c r="D248" s="27"/>
    </row>
    <row r="249">
      <c r="B249" s="26"/>
      <c r="C249" s="26"/>
      <c r="D249" s="27"/>
    </row>
    <row r="250">
      <c r="B250" s="26"/>
      <c r="C250" s="26"/>
      <c r="D250" s="27"/>
    </row>
    <row r="251">
      <c r="B251" s="26"/>
      <c r="C251" s="26"/>
      <c r="D251" s="27"/>
    </row>
    <row r="252">
      <c r="B252" s="26"/>
      <c r="C252" s="26"/>
      <c r="D252" s="27"/>
    </row>
    <row r="253">
      <c r="B253" s="26"/>
      <c r="C253" s="26"/>
      <c r="D253" s="27"/>
    </row>
    <row r="254">
      <c r="B254" s="26"/>
      <c r="C254" s="26"/>
      <c r="D254" s="27"/>
    </row>
    <row r="255">
      <c r="B255" s="26"/>
      <c r="C255" s="26"/>
      <c r="D255" s="27"/>
    </row>
    <row r="256">
      <c r="B256" s="26"/>
      <c r="C256" s="26"/>
      <c r="D256" s="27"/>
    </row>
    <row r="257">
      <c r="B257" s="26"/>
      <c r="C257" s="26"/>
      <c r="D257" s="27"/>
    </row>
    <row r="258">
      <c r="B258" s="26"/>
      <c r="C258" s="26"/>
      <c r="D258" s="27"/>
    </row>
    <row r="259">
      <c r="B259" s="26"/>
      <c r="C259" s="26"/>
      <c r="D259" s="27"/>
    </row>
    <row r="260">
      <c r="B260" s="26"/>
      <c r="C260" s="26"/>
      <c r="D260" s="27"/>
    </row>
    <row r="261">
      <c r="B261" s="26"/>
      <c r="C261" s="26"/>
      <c r="D261" s="27"/>
    </row>
    <row r="262">
      <c r="B262" s="26"/>
      <c r="C262" s="26"/>
      <c r="D262" s="27"/>
    </row>
    <row r="263">
      <c r="B263" s="26"/>
      <c r="C263" s="26"/>
      <c r="D263" s="27"/>
    </row>
    <row r="264">
      <c r="B264" s="26"/>
      <c r="C264" s="26"/>
      <c r="D264" s="27"/>
    </row>
    <row r="265">
      <c r="B265" s="26"/>
      <c r="C265" s="26"/>
      <c r="D265" s="27"/>
    </row>
    <row r="266">
      <c r="B266" s="26"/>
      <c r="C266" s="26"/>
      <c r="D266" s="27"/>
    </row>
    <row r="267">
      <c r="B267" s="26"/>
      <c r="C267" s="26"/>
      <c r="D267" s="27"/>
    </row>
    <row r="268">
      <c r="B268" s="26"/>
      <c r="C268" s="26"/>
      <c r="D268" s="27"/>
    </row>
    <row r="269">
      <c r="B269" s="26"/>
      <c r="C269" s="26"/>
      <c r="D269" s="27"/>
    </row>
    <row r="270">
      <c r="B270" s="26"/>
      <c r="C270" s="26"/>
      <c r="D270" s="27"/>
    </row>
    <row r="271">
      <c r="B271" s="26"/>
      <c r="C271" s="26"/>
      <c r="D271" s="27"/>
    </row>
    <row r="272">
      <c r="B272" s="26"/>
      <c r="C272" s="26"/>
      <c r="D272" s="27"/>
    </row>
    <row r="273">
      <c r="B273" s="26"/>
      <c r="C273" s="26"/>
      <c r="D273" s="27"/>
    </row>
    <row r="274">
      <c r="B274" s="26"/>
      <c r="C274" s="26"/>
      <c r="D274" s="27"/>
    </row>
    <row r="275">
      <c r="B275" s="26"/>
      <c r="C275" s="26"/>
      <c r="D275" s="27"/>
    </row>
    <row r="276">
      <c r="B276" s="26"/>
      <c r="C276" s="26"/>
      <c r="D276" s="27"/>
    </row>
    <row r="277">
      <c r="B277" s="26"/>
      <c r="C277" s="26"/>
      <c r="D277" s="27"/>
    </row>
    <row r="278">
      <c r="B278" s="26"/>
      <c r="C278" s="26"/>
      <c r="D278" s="27"/>
    </row>
    <row r="279">
      <c r="B279" s="26"/>
      <c r="C279" s="26"/>
      <c r="D279" s="27"/>
    </row>
    <row r="280">
      <c r="B280" s="26"/>
      <c r="C280" s="26"/>
      <c r="D280" s="27"/>
    </row>
    <row r="281">
      <c r="B281" s="26"/>
      <c r="C281" s="26"/>
      <c r="D281" s="27"/>
    </row>
    <row r="282">
      <c r="B282" s="26"/>
      <c r="C282" s="26"/>
      <c r="D282" s="27"/>
    </row>
    <row r="283">
      <c r="B283" s="26"/>
      <c r="C283" s="26"/>
      <c r="D283" s="27"/>
    </row>
    <row r="284">
      <c r="B284" s="26"/>
      <c r="C284" s="26"/>
      <c r="D284" s="27"/>
    </row>
    <row r="285">
      <c r="B285" s="26"/>
      <c r="C285" s="26"/>
      <c r="D285" s="27"/>
    </row>
    <row r="286">
      <c r="B286" s="26"/>
      <c r="C286" s="26"/>
      <c r="D286" s="27"/>
    </row>
    <row r="287">
      <c r="B287" s="26"/>
      <c r="C287" s="26"/>
      <c r="D287" s="27"/>
    </row>
    <row r="288">
      <c r="B288" s="26"/>
      <c r="C288" s="26"/>
      <c r="D288" s="27"/>
    </row>
    <row r="289">
      <c r="B289" s="26"/>
      <c r="C289" s="26"/>
      <c r="D289" s="27"/>
    </row>
    <row r="290">
      <c r="B290" s="26"/>
      <c r="C290" s="26"/>
      <c r="D290" s="27"/>
    </row>
    <row r="291">
      <c r="B291" s="26"/>
      <c r="C291" s="26"/>
      <c r="D291" s="27"/>
    </row>
    <row r="292">
      <c r="B292" s="26"/>
      <c r="C292" s="26"/>
      <c r="D292" s="27"/>
    </row>
    <row r="293">
      <c r="B293" s="26"/>
      <c r="C293" s="26"/>
      <c r="D293" s="27"/>
    </row>
    <row r="294">
      <c r="B294" s="26"/>
      <c r="C294" s="26"/>
      <c r="D294" s="27"/>
    </row>
    <row r="295">
      <c r="B295" s="26"/>
      <c r="C295" s="26"/>
      <c r="D295" s="27"/>
    </row>
    <row r="296">
      <c r="B296" s="26"/>
      <c r="C296" s="26"/>
      <c r="D296" s="27"/>
    </row>
    <row r="297">
      <c r="B297" s="26"/>
      <c r="C297" s="26"/>
      <c r="D297" s="27"/>
    </row>
    <row r="298">
      <c r="B298" s="26"/>
      <c r="C298" s="26"/>
      <c r="D298" s="27"/>
    </row>
    <row r="299">
      <c r="B299" s="26"/>
      <c r="C299" s="26"/>
      <c r="D299" s="27"/>
    </row>
    <row r="300">
      <c r="B300" s="26"/>
      <c r="C300" s="26"/>
      <c r="D300" s="27"/>
    </row>
    <row r="301">
      <c r="B301" s="26"/>
      <c r="C301" s="26"/>
      <c r="D301" s="27"/>
    </row>
    <row r="302">
      <c r="B302" s="26"/>
      <c r="C302" s="26"/>
      <c r="D302" s="27"/>
    </row>
    <row r="303">
      <c r="B303" s="26"/>
      <c r="C303" s="26"/>
      <c r="D303" s="27"/>
    </row>
    <row r="304">
      <c r="B304" s="26"/>
      <c r="C304" s="26"/>
      <c r="D304" s="27"/>
    </row>
    <row r="305">
      <c r="B305" s="26"/>
      <c r="C305" s="26"/>
      <c r="D305" s="27"/>
    </row>
    <row r="306">
      <c r="B306" s="26"/>
      <c r="C306" s="26"/>
      <c r="D306" s="27"/>
    </row>
    <row r="307">
      <c r="B307" s="26"/>
      <c r="C307" s="26"/>
      <c r="D307" s="27"/>
    </row>
    <row r="308">
      <c r="B308" s="26"/>
      <c r="C308" s="26"/>
      <c r="D308" s="27"/>
    </row>
    <row r="309">
      <c r="B309" s="26"/>
      <c r="C309" s="26"/>
      <c r="D309" s="27"/>
    </row>
    <row r="310">
      <c r="B310" s="26"/>
      <c r="C310" s="26"/>
      <c r="D310" s="27"/>
    </row>
    <row r="311">
      <c r="B311" s="26"/>
      <c r="C311" s="26"/>
      <c r="D311" s="27"/>
    </row>
    <row r="312">
      <c r="B312" s="26"/>
      <c r="C312" s="26"/>
      <c r="D312" s="27"/>
    </row>
    <row r="313">
      <c r="B313" s="26"/>
      <c r="C313" s="26"/>
      <c r="D313" s="27"/>
    </row>
    <row r="314">
      <c r="B314" s="26"/>
      <c r="C314" s="26"/>
      <c r="D314" s="27"/>
    </row>
    <row r="315">
      <c r="B315" s="26"/>
      <c r="C315" s="26"/>
      <c r="D315" s="27"/>
    </row>
    <row r="316">
      <c r="B316" s="26"/>
      <c r="C316" s="26"/>
      <c r="D316" s="27"/>
    </row>
    <row r="317">
      <c r="B317" s="26"/>
      <c r="C317" s="26"/>
      <c r="D317" s="27"/>
    </row>
    <row r="318">
      <c r="B318" s="26"/>
      <c r="C318" s="26"/>
      <c r="D318" s="27"/>
    </row>
    <row r="319">
      <c r="B319" s="26"/>
      <c r="C319" s="26"/>
      <c r="D319" s="27"/>
    </row>
    <row r="320">
      <c r="B320" s="26"/>
      <c r="C320" s="26"/>
      <c r="D320" s="27"/>
    </row>
    <row r="321">
      <c r="B321" s="26"/>
      <c r="C321" s="26"/>
      <c r="D321" s="27"/>
    </row>
    <row r="322">
      <c r="B322" s="26"/>
      <c r="C322" s="26"/>
      <c r="D322" s="27"/>
    </row>
    <row r="323">
      <c r="B323" s="26"/>
      <c r="C323" s="26"/>
      <c r="D323" s="27"/>
    </row>
    <row r="324">
      <c r="B324" s="26"/>
      <c r="C324" s="26"/>
      <c r="D324" s="27"/>
    </row>
    <row r="325">
      <c r="B325" s="26"/>
      <c r="C325" s="26"/>
      <c r="D325" s="27"/>
    </row>
    <row r="326">
      <c r="B326" s="26"/>
      <c r="C326" s="26"/>
      <c r="D326" s="27"/>
    </row>
    <row r="327">
      <c r="B327" s="26"/>
      <c r="C327" s="26"/>
      <c r="D327" s="27"/>
    </row>
    <row r="328">
      <c r="B328" s="26"/>
      <c r="C328" s="26"/>
      <c r="D328" s="27"/>
    </row>
    <row r="329">
      <c r="B329" s="26"/>
      <c r="C329" s="26"/>
      <c r="D329" s="27"/>
    </row>
    <row r="330">
      <c r="B330" s="26"/>
      <c r="C330" s="26"/>
      <c r="D330" s="27"/>
    </row>
    <row r="331">
      <c r="B331" s="26"/>
      <c r="C331" s="26"/>
      <c r="D331" s="27"/>
    </row>
    <row r="332">
      <c r="B332" s="26"/>
      <c r="C332" s="26"/>
      <c r="D332" s="27"/>
    </row>
    <row r="333">
      <c r="B333" s="26"/>
      <c r="C333" s="26"/>
      <c r="D333" s="27"/>
    </row>
    <row r="334">
      <c r="B334" s="26"/>
      <c r="C334" s="26"/>
      <c r="D334" s="27"/>
    </row>
    <row r="335">
      <c r="B335" s="26"/>
      <c r="C335" s="26"/>
      <c r="D335" s="27"/>
    </row>
    <row r="336">
      <c r="B336" s="26"/>
      <c r="C336" s="26"/>
      <c r="D336" s="27"/>
    </row>
    <row r="337">
      <c r="B337" s="26"/>
      <c r="C337" s="26"/>
      <c r="D337" s="27"/>
    </row>
    <row r="338">
      <c r="B338" s="26"/>
      <c r="C338" s="26"/>
      <c r="D338" s="27"/>
    </row>
    <row r="339">
      <c r="B339" s="26"/>
      <c r="C339" s="26"/>
      <c r="D339" s="27"/>
    </row>
    <row r="340">
      <c r="B340" s="26"/>
      <c r="C340" s="26"/>
      <c r="D340" s="27"/>
    </row>
    <row r="341">
      <c r="B341" s="26"/>
      <c r="C341" s="26"/>
      <c r="D341" s="27"/>
    </row>
    <row r="342">
      <c r="B342" s="26"/>
      <c r="C342" s="26"/>
      <c r="D342" s="27"/>
    </row>
    <row r="343">
      <c r="B343" s="26"/>
      <c r="C343" s="26"/>
      <c r="D343" s="27"/>
    </row>
    <row r="344">
      <c r="B344" s="26"/>
      <c r="C344" s="26"/>
      <c r="D344" s="27"/>
    </row>
    <row r="345">
      <c r="B345" s="26"/>
      <c r="C345" s="26"/>
      <c r="D345" s="27"/>
    </row>
    <row r="346">
      <c r="B346" s="26"/>
      <c r="C346" s="26"/>
      <c r="D346" s="27"/>
    </row>
    <row r="347">
      <c r="B347" s="26"/>
      <c r="C347" s="26"/>
      <c r="D347" s="27"/>
    </row>
    <row r="348">
      <c r="B348" s="26"/>
      <c r="C348" s="26"/>
      <c r="D348" s="27"/>
    </row>
    <row r="349">
      <c r="B349" s="26"/>
      <c r="C349" s="26"/>
      <c r="D349" s="27"/>
    </row>
    <row r="350">
      <c r="B350" s="26"/>
      <c r="C350" s="26"/>
      <c r="D350" s="27"/>
    </row>
    <row r="351">
      <c r="B351" s="26"/>
      <c r="C351" s="26"/>
      <c r="D351" s="27"/>
    </row>
    <row r="352">
      <c r="B352" s="26"/>
      <c r="C352" s="26"/>
      <c r="D352" s="27"/>
    </row>
    <row r="353">
      <c r="B353" s="26"/>
      <c r="C353" s="26"/>
      <c r="D353" s="27"/>
    </row>
    <row r="354">
      <c r="B354" s="26"/>
      <c r="C354" s="26"/>
      <c r="D354" s="27"/>
    </row>
    <row r="355">
      <c r="B355" s="26"/>
      <c r="C355" s="26"/>
      <c r="D355" s="27"/>
    </row>
    <row r="356">
      <c r="B356" s="26"/>
      <c r="C356" s="26"/>
      <c r="D356" s="27"/>
    </row>
    <row r="357">
      <c r="B357" s="26"/>
      <c r="C357" s="26"/>
      <c r="D357" s="27"/>
    </row>
    <row r="358">
      <c r="B358" s="26"/>
      <c r="C358" s="26"/>
      <c r="D358" s="27"/>
    </row>
    <row r="359">
      <c r="B359" s="26"/>
      <c r="C359" s="26"/>
      <c r="D359" s="27"/>
    </row>
    <row r="360">
      <c r="B360" s="26"/>
      <c r="C360" s="26"/>
      <c r="D360" s="27"/>
    </row>
    <row r="361">
      <c r="B361" s="26"/>
      <c r="C361" s="26"/>
      <c r="D361" s="27"/>
    </row>
    <row r="362">
      <c r="B362" s="26"/>
      <c r="C362" s="26"/>
      <c r="D362" s="27"/>
    </row>
    <row r="363">
      <c r="B363" s="26"/>
      <c r="C363" s="26"/>
      <c r="D363" s="27"/>
    </row>
    <row r="364">
      <c r="B364" s="26"/>
      <c r="C364" s="26"/>
      <c r="D364" s="27"/>
    </row>
    <row r="365">
      <c r="B365" s="26"/>
      <c r="C365" s="26"/>
      <c r="D365" s="27"/>
    </row>
    <row r="366">
      <c r="B366" s="26"/>
      <c r="C366" s="26"/>
      <c r="D366" s="27"/>
    </row>
    <row r="367">
      <c r="B367" s="26"/>
      <c r="C367" s="26"/>
      <c r="D367" s="27"/>
    </row>
    <row r="368">
      <c r="B368" s="26"/>
      <c r="C368" s="26"/>
      <c r="D368" s="27"/>
    </row>
    <row r="369">
      <c r="B369" s="26"/>
      <c r="C369" s="26"/>
      <c r="D369" s="27"/>
    </row>
    <row r="370">
      <c r="B370" s="26"/>
      <c r="C370" s="26"/>
      <c r="D370" s="27"/>
    </row>
    <row r="371">
      <c r="B371" s="26"/>
      <c r="C371" s="26"/>
      <c r="D371" s="27"/>
    </row>
    <row r="372">
      <c r="B372" s="26"/>
      <c r="C372" s="26"/>
      <c r="D372" s="27"/>
    </row>
    <row r="373">
      <c r="B373" s="26"/>
      <c r="C373" s="26"/>
      <c r="D373" s="27"/>
    </row>
    <row r="374">
      <c r="B374" s="26"/>
      <c r="C374" s="26"/>
      <c r="D374" s="27"/>
    </row>
    <row r="375">
      <c r="B375" s="26"/>
      <c r="C375" s="26"/>
      <c r="D375" s="27"/>
    </row>
    <row r="376">
      <c r="B376" s="26"/>
      <c r="C376" s="26"/>
      <c r="D376" s="27"/>
    </row>
    <row r="377">
      <c r="B377" s="26"/>
      <c r="C377" s="26"/>
      <c r="D377" s="27"/>
    </row>
    <row r="378">
      <c r="B378" s="26"/>
      <c r="C378" s="26"/>
      <c r="D378" s="27"/>
    </row>
    <row r="379">
      <c r="B379" s="26"/>
      <c r="C379" s="26"/>
      <c r="D379" s="27"/>
    </row>
    <row r="380">
      <c r="B380" s="26"/>
      <c r="C380" s="26"/>
      <c r="D380" s="27"/>
    </row>
    <row r="381">
      <c r="B381" s="26"/>
      <c r="C381" s="26"/>
      <c r="D381" s="27"/>
    </row>
    <row r="382">
      <c r="B382" s="26"/>
      <c r="C382" s="26"/>
      <c r="D382" s="27"/>
    </row>
    <row r="383">
      <c r="B383" s="26"/>
      <c r="C383" s="26"/>
      <c r="D383" s="27"/>
    </row>
    <row r="384">
      <c r="B384" s="26"/>
      <c r="C384" s="26"/>
      <c r="D384" s="27"/>
    </row>
    <row r="385">
      <c r="B385" s="26"/>
      <c r="C385" s="26"/>
      <c r="D385" s="27"/>
    </row>
    <row r="386">
      <c r="B386" s="26"/>
      <c r="C386" s="26"/>
      <c r="D386" s="27"/>
    </row>
    <row r="387">
      <c r="B387" s="26"/>
      <c r="C387" s="26"/>
      <c r="D387" s="27"/>
    </row>
    <row r="388">
      <c r="B388" s="26"/>
      <c r="C388" s="26"/>
      <c r="D388" s="27"/>
    </row>
    <row r="389">
      <c r="B389" s="26"/>
      <c r="C389" s="26"/>
      <c r="D389" s="27"/>
    </row>
    <row r="390">
      <c r="B390" s="26"/>
      <c r="C390" s="26"/>
      <c r="D390" s="27"/>
    </row>
    <row r="391">
      <c r="B391" s="26"/>
      <c r="C391" s="26"/>
      <c r="D391" s="27"/>
    </row>
    <row r="392">
      <c r="B392" s="26"/>
      <c r="C392" s="26"/>
      <c r="D392" s="27"/>
    </row>
    <row r="393">
      <c r="B393" s="26"/>
      <c r="C393" s="26"/>
      <c r="D393" s="27"/>
    </row>
    <row r="394">
      <c r="B394" s="26"/>
      <c r="C394" s="26"/>
      <c r="D394" s="27"/>
    </row>
    <row r="395">
      <c r="B395" s="26"/>
      <c r="C395" s="26"/>
      <c r="D395" s="27"/>
    </row>
    <row r="396">
      <c r="B396" s="26"/>
      <c r="C396" s="26"/>
      <c r="D396" s="27"/>
    </row>
    <row r="397">
      <c r="B397" s="26"/>
      <c r="C397" s="26"/>
      <c r="D397" s="27"/>
    </row>
    <row r="398">
      <c r="B398" s="26"/>
      <c r="C398" s="26"/>
      <c r="D398" s="27"/>
    </row>
    <row r="399">
      <c r="B399" s="26"/>
      <c r="C399" s="26"/>
      <c r="D399" s="27"/>
    </row>
    <row r="400">
      <c r="B400" s="26"/>
      <c r="C400" s="26"/>
      <c r="D400" s="27"/>
    </row>
    <row r="401">
      <c r="B401" s="26"/>
      <c r="C401" s="26"/>
      <c r="D401" s="27"/>
    </row>
    <row r="402">
      <c r="B402" s="26"/>
      <c r="C402" s="26"/>
      <c r="D402" s="27"/>
    </row>
    <row r="403">
      <c r="B403" s="26"/>
      <c r="C403" s="26"/>
      <c r="D403" s="27"/>
    </row>
    <row r="404">
      <c r="B404" s="26"/>
      <c r="C404" s="26"/>
      <c r="D404" s="27"/>
    </row>
    <row r="405">
      <c r="B405" s="26"/>
      <c r="C405" s="26"/>
      <c r="D405" s="27"/>
    </row>
    <row r="406">
      <c r="B406" s="26"/>
      <c r="C406" s="26"/>
      <c r="D406" s="27"/>
    </row>
    <row r="407">
      <c r="B407" s="26"/>
      <c r="C407" s="26"/>
      <c r="D407" s="27"/>
    </row>
    <row r="408">
      <c r="B408" s="26"/>
      <c r="C408" s="26"/>
      <c r="D408" s="27"/>
    </row>
    <row r="409">
      <c r="B409" s="26"/>
      <c r="C409" s="26"/>
      <c r="D409" s="27"/>
    </row>
    <row r="410">
      <c r="B410" s="26"/>
      <c r="C410" s="26"/>
      <c r="D410" s="27"/>
    </row>
    <row r="411">
      <c r="B411" s="26"/>
      <c r="C411" s="26"/>
      <c r="D411" s="27"/>
    </row>
    <row r="412">
      <c r="B412" s="26"/>
      <c r="C412" s="26"/>
      <c r="D412" s="27"/>
    </row>
    <row r="413">
      <c r="B413" s="26"/>
      <c r="C413" s="26"/>
      <c r="D413" s="27"/>
    </row>
    <row r="414">
      <c r="B414" s="26"/>
      <c r="C414" s="26"/>
      <c r="D414" s="27"/>
    </row>
    <row r="415">
      <c r="B415" s="26"/>
      <c r="C415" s="26"/>
      <c r="D415" s="27"/>
    </row>
    <row r="416">
      <c r="B416" s="26"/>
      <c r="C416" s="26"/>
      <c r="D416" s="27"/>
    </row>
    <row r="417">
      <c r="B417" s="26"/>
      <c r="C417" s="26"/>
      <c r="D417" s="27"/>
    </row>
    <row r="418">
      <c r="B418" s="26"/>
      <c r="C418" s="26"/>
      <c r="D418" s="27"/>
    </row>
    <row r="419">
      <c r="B419" s="26"/>
      <c r="C419" s="26"/>
      <c r="D419" s="27"/>
    </row>
    <row r="420">
      <c r="B420" s="26"/>
      <c r="C420" s="26"/>
      <c r="D420" s="27"/>
    </row>
    <row r="421">
      <c r="B421" s="26"/>
      <c r="C421" s="26"/>
      <c r="D421" s="27"/>
    </row>
    <row r="422">
      <c r="B422" s="26"/>
      <c r="C422" s="26"/>
      <c r="D422" s="27"/>
    </row>
    <row r="423">
      <c r="B423" s="26"/>
      <c r="C423" s="26"/>
      <c r="D423" s="27"/>
    </row>
    <row r="424">
      <c r="B424" s="26"/>
      <c r="C424" s="26"/>
      <c r="D424" s="27"/>
    </row>
    <row r="425">
      <c r="B425" s="26"/>
      <c r="C425" s="26"/>
      <c r="D425" s="27"/>
    </row>
    <row r="426">
      <c r="B426" s="26"/>
      <c r="C426" s="26"/>
      <c r="D426" s="27"/>
    </row>
    <row r="427">
      <c r="B427" s="26"/>
      <c r="C427" s="26"/>
      <c r="D427" s="27"/>
    </row>
    <row r="428">
      <c r="B428" s="26"/>
      <c r="C428" s="26"/>
      <c r="D428" s="27"/>
    </row>
    <row r="429">
      <c r="B429" s="26"/>
      <c r="C429" s="26"/>
      <c r="D429" s="27"/>
    </row>
    <row r="430">
      <c r="B430" s="26"/>
      <c r="C430" s="26"/>
      <c r="D430" s="27"/>
    </row>
    <row r="431">
      <c r="B431" s="26"/>
      <c r="C431" s="26"/>
      <c r="D431" s="27"/>
    </row>
    <row r="432">
      <c r="B432" s="26"/>
      <c r="C432" s="26"/>
      <c r="D432" s="27"/>
    </row>
    <row r="433">
      <c r="B433" s="26"/>
      <c r="C433" s="26"/>
      <c r="D433" s="27"/>
    </row>
    <row r="434">
      <c r="B434" s="26"/>
      <c r="C434" s="26"/>
      <c r="D434" s="27"/>
    </row>
    <row r="435">
      <c r="B435" s="26"/>
      <c r="C435" s="26"/>
      <c r="D435" s="27"/>
    </row>
    <row r="436">
      <c r="B436" s="26"/>
      <c r="C436" s="26"/>
      <c r="D436" s="27"/>
    </row>
    <row r="437">
      <c r="B437" s="26"/>
      <c r="C437" s="26"/>
      <c r="D437" s="27"/>
    </row>
    <row r="438">
      <c r="B438" s="26"/>
      <c r="C438" s="26"/>
      <c r="D438" s="27"/>
    </row>
    <row r="439">
      <c r="B439" s="26"/>
      <c r="C439" s="26"/>
      <c r="D439" s="27"/>
    </row>
    <row r="440">
      <c r="B440" s="26"/>
      <c r="C440" s="26"/>
      <c r="D440" s="27"/>
    </row>
    <row r="441">
      <c r="B441" s="26"/>
      <c r="C441" s="26"/>
      <c r="D441" s="27"/>
    </row>
    <row r="442">
      <c r="B442" s="26"/>
      <c r="C442" s="26"/>
      <c r="D442" s="27"/>
    </row>
    <row r="443">
      <c r="B443" s="26"/>
      <c r="C443" s="26"/>
      <c r="D443" s="27"/>
    </row>
    <row r="444">
      <c r="B444" s="26"/>
      <c r="C444" s="26"/>
      <c r="D444" s="27"/>
    </row>
    <row r="445">
      <c r="B445" s="26"/>
      <c r="C445" s="26"/>
      <c r="D445" s="27"/>
    </row>
    <row r="446">
      <c r="B446" s="26"/>
      <c r="C446" s="26"/>
      <c r="D446" s="27"/>
    </row>
    <row r="447">
      <c r="B447" s="26"/>
      <c r="C447" s="26"/>
      <c r="D447" s="27"/>
    </row>
    <row r="448">
      <c r="B448" s="26"/>
      <c r="C448" s="26"/>
      <c r="D448" s="27"/>
    </row>
    <row r="449">
      <c r="B449" s="26"/>
      <c r="C449" s="26"/>
      <c r="D449" s="27"/>
    </row>
    <row r="450">
      <c r="B450" s="26"/>
      <c r="C450" s="26"/>
      <c r="D450" s="27"/>
    </row>
    <row r="451">
      <c r="B451" s="26"/>
      <c r="C451" s="26"/>
      <c r="D451" s="27"/>
    </row>
    <row r="452">
      <c r="B452" s="26"/>
      <c r="C452" s="26"/>
      <c r="D452" s="27"/>
    </row>
    <row r="453">
      <c r="B453" s="26"/>
      <c r="C453" s="26"/>
      <c r="D453" s="27"/>
    </row>
    <row r="454">
      <c r="B454" s="26"/>
      <c r="C454" s="26"/>
      <c r="D454" s="27"/>
    </row>
    <row r="455">
      <c r="B455" s="26"/>
      <c r="C455" s="26"/>
      <c r="D455" s="27"/>
    </row>
    <row r="456">
      <c r="B456" s="26"/>
      <c r="C456" s="26"/>
      <c r="D456" s="27"/>
    </row>
    <row r="457">
      <c r="B457" s="26"/>
      <c r="C457" s="26"/>
      <c r="D457" s="27"/>
    </row>
    <row r="458">
      <c r="B458" s="26"/>
      <c r="C458" s="26"/>
      <c r="D458" s="27"/>
    </row>
    <row r="459">
      <c r="B459" s="26"/>
      <c r="C459" s="26"/>
      <c r="D459" s="27"/>
    </row>
    <row r="460">
      <c r="B460" s="26"/>
      <c r="C460" s="26"/>
      <c r="D460" s="27"/>
    </row>
    <row r="461">
      <c r="B461" s="26"/>
      <c r="C461" s="26"/>
      <c r="D461" s="27"/>
    </row>
    <row r="462">
      <c r="B462" s="26"/>
      <c r="C462" s="26"/>
      <c r="D462" s="27"/>
    </row>
    <row r="463">
      <c r="B463" s="26"/>
      <c r="C463" s="26"/>
      <c r="D463" s="27"/>
    </row>
    <row r="464">
      <c r="B464" s="26"/>
      <c r="C464" s="26"/>
      <c r="D464" s="27"/>
    </row>
    <row r="465">
      <c r="B465" s="26"/>
      <c r="C465" s="26"/>
      <c r="D465" s="27"/>
    </row>
    <row r="466">
      <c r="B466" s="26"/>
      <c r="C466" s="26"/>
      <c r="D466" s="27"/>
    </row>
    <row r="467">
      <c r="B467" s="26"/>
      <c r="C467" s="26"/>
      <c r="D467" s="27"/>
    </row>
    <row r="468">
      <c r="B468" s="26"/>
      <c r="C468" s="26"/>
      <c r="D468" s="27"/>
    </row>
    <row r="469">
      <c r="B469" s="26"/>
      <c r="C469" s="26"/>
      <c r="D469" s="27"/>
    </row>
    <row r="470">
      <c r="B470" s="26"/>
      <c r="C470" s="26"/>
      <c r="D470" s="27"/>
    </row>
    <row r="471">
      <c r="B471" s="26"/>
      <c r="C471" s="26"/>
      <c r="D471" s="27"/>
    </row>
    <row r="472">
      <c r="B472" s="26"/>
      <c r="C472" s="26"/>
      <c r="D472" s="27"/>
    </row>
    <row r="473">
      <c r="B473" s="26"/>
      <c r="C473" s="26"/>
      <c r="D473" s="27"/>
    </row>
    <row r="474">
      <c r="B474" s="26"/>
      <c r="C474" s="26"/>
      <c r="D474" s="27"/>
    </row>
    <row r="475">
      <c r="B475" s="26"/>
      <c r="C475" s="26"/>
      <c r="D475" s="27"/>
    </row>
    <row r="476">
      <c r="B476" s="26"/>
      <c r="C476" s="26"/>
      <c r="D476" s="27"/>
    </row>
    <row r="477">
      <c r="B477" s="26"/>
      <c r="C477" s="26"/>
      <c r="D477" s="27"/>
    </row>
    <row r="478">
      <c r="B478" s="26"/>
      <c r="C478" s="26"/>
      <c r="D478" s="27"/>
    </row>
    <row r="479">
      <c r="B479" s="26"/>
      <c r="C479" s="26"/>
      <c r="D479" s="27"/>
    </row>
    <row r="480">
      <c r="B480" s="26"/>
      <c r="C480" s="26"/>
      <c r="D480" s="27"/>
    </row>
    <row r="481">
      <c r="B481" s="26"/>
      <c r="C481" s="26"/>
      <c r="D481" s="27"/>
    </row>
    <row r="482">
      <c r="B482" s="26"/>
      <c r="C482" s="26"/>
      <c r="D482" s="27"/>
    </row>
    <row r="483">
      <c r="B483" s="26"/>
      <c r="C483" s="26"/>
      <c r="D483" s="27"/>
    </row>
    <row r="484">
      <c r="B484" s="26"/>
      <c r="C484" s="26"/>
      <c r="D484" s="27"/>
    </row>
    <row r="485">
      <c r="B485" s="26"/>
      <c r="C485" s="26"/>
      <c r="D485" s="27"/>
    </row>
    <row r="486">
      <c r="B486" s="26"/>
      <c r="C486" s="26"/>
      <c r="D486" s="27"/>
    </row>
    <row r="487">
      <c r="B487" s="26"/>
      <c r="C487" s="26"/>
      <c r="D487" s="27"/>
    </row>
    <row r="488">
      <c r="B488" s="26"/>
      <c r="C488" s="26"/>
      <c r="D488" s="27"/>
    </row>
    <row r="489">
      <c r="B489" s="26"/>
      <c r="C489" s="26"/>
      <c r="D489" s="27"/>
    </row>
    <row r="490">
      <c r="B490" s="26"/>
      <c r="C490" s="26"/>
      <c r="D490" s="27"/>
    </row>
    <row r="491">
      <c r="B491" s="26"/>
      <c r="C491" s="26"/>
      <c r="D491" s="27"/>
    </row>
    <row r="492">
      <c r="B492" s="26"/>
      <c r="C492" s="26"/>
      <c r="D492" s="27"/>
    </row>
    <row r="493">
      <c r="B493" s="26"/>
      <c r="C493" s="26"/>
      <c r="D493" s="27"/>
    </row>
    <row r="494">
      <c r="B494" s="26"/>
      <c r="C494" s="26"/>
      <c r="D494" s="27"/>
    </row>
    <row r="495">
      <c r="B495" s="26"/>
      <c r="C495" s="26"/>
      <c r="D495" s="27"/>
    </row>
    <row r="496">
      <c r="B496" s="26"/>
      <c r="C496" s="26"/>
      <c r="D496" s="27"/>
    </row>
    <row r="497">
      <c r="B497" s="26"/>
      <c r="C497" s="26"/>
      <c r="D497" s="27"/>
    </row>
    <row r="498">
      <c r="B498" s="26"/>
      <c r="C498" s="26"/>
      <c r="D498" s="27"/>
    </row>
    <row r="499">
      <c r="B499" s="26"/>
      <c r="C499" s="26"/>
      <c r="D499" s="27"/>
    </row>
    <row r="500">
      <c r="B500" s="26"/>
      <c r="C500" s="26"/>
      <c r="D500" s="27"/>
    </row>
    <row r="501">
      <c r="B501" s="26"/>
      <c r="C501" s="26"/>
      <c r="D501" s="27"/>
    </row>
    <row r="502">
      <c r="B502" s="26"/>
      <c r="C502" s="26"/>
      <c r="D502" s="27"/>
    </row>
    <row r="503">
      <c r="B503" s="26"/>
      <c r="C503" s="26"/>
      <c r="D503" s="27"/>
    </row>
    <row r="504">
      <c r="B504" s="26"/>
      <c r="C504" s="26"/>
      <c r="D504" s="27"/>
    </row>
    <row r="505">
      <c r="B505" s="26"/>
      <c r="C505" s="26"/>
      <c r="D505" s="27"/>
    </row>
    <row r="506">
      <c r="B506" s="26"/>
      <c r="C506" s="26"/>
      <c r="D506" s="27"/>
    </row>
    <row r="507">
      <c r="B507" s="26"/>
      <c r="C507" s="26"/>
      <c r="D507" s="27"/>
    </row>
    <row r="508">
      <c r="B508" s="26"/>
      <c r="C508" s="26"/>
      <c r="D508" s="27"/>
    </row>
    <row r="509">
      <c r="B509" s="26"/>
      <c r="C509" s="26"/>
      <c r="D509" s="27"/>
    </row>
    <row r="510">
      <c r="B510" s="26"/>
      <c r="C510" s="26"/>
      <c r="D510" s="27"/>
    </row>
    <row r="511">
      <c r="B511" s="26"/>
      <c r="C511" s="26"/>
      <c r="D511" s="27"/>
    </row>
    <row r="512">
      <c r="B512" s="26"/>
      <c r="C512" s="26"/>
      <c r="D512" s="27"/>
    </row>
    <row r="513">
      <c r="B513" s="26"/>
      <c r="C513" s="26"/>
      <c r="D513" s="27"/>
    </row>
    <row r="514">
      <c r="B514" s="26"/>
      <c r="C514" s="26"/>
      <c r="D514" s="27"/>
    </row>
    <row r="515">
      <c r="B515" s="26"/>
      <c r="C515" s="26"/>
      <c r="D515" s="27"/>
    </row>
    <row r="516">
      <c r="B516" s="26"/>
      <c r="C516" s="26"/>
      <c r="D516" s="27"/>
    </row>
    <row r="517">
      <c r="B517" s="26"/>
      <c r="C517" s="26"/>
      <c r="D517" s="27"/>
    </row>
    <row r="518">
      <c r="B518" s="26"/>
      <c r="C518" s="26"/>
      <c r="D518" s="27"/>
    </row>
    <row r="519">
      <c r="B519" s="26"/>
      <c r="C519" s="26"/>
      <c r="D519" s="27"/>
    </row>
    <row r="520">
      <c r="B520" s="26"/>
      <c r="C520" s="26"/>
      <c r="D520" s="27"/>
    </row>
    <row r="521">
      <c r="B521" s="26"/>
      <c r="C521" s="26"/>
      <c r="D521" s="27"/>
    </row>
    <row r="522">
      <c r="B522" s="26"/>
      <c r="C522" s="26"/>
      <c r="D522" s="27"/>
    </row>
    <row r="523">
      <c r="B523" s="26"/>
      <c r="C523" s="26"/>
      <c r="D523" s="27"/>
    </row>
    <row r="524">
      <c r="B524" s="26"/>
      <c r="C524" s="26"/>
      <c r="D524" s="27"/>
    </row>
    <row r="525">
      <c r="B525" s="26"/>
      <c r="C525" s="26"/>
      <c r="D525" s="27"/>
    </row>
    <row r="526">
      <c r="B526" s="26"/>
      <c r="C526" s="26"/>
      <c r="D526" s="27"/>
    </row>
    <row r="527">
      <c r="B527" s="26"/>
      <c r="C527" s="26"/>
      <c r="D527" s="27"/>
    </row>
    <row r="528">
      <c r="B528" s="26"/>
      <c r="C528" s="26"/>
      <c r="D528" s="27"/>
    </row>
    <row r="529">
      <c r="B529" s="26"/>
      <c r="C529" s="26"/>
      <c r="D529" s="27"/>
    </row>
    <row r="530">
      <c r="B530" s="26"/>
      <c r="C530" s="26"/>
      <c r="D530" s="27"/>
    </row>
    <row r="531">
      <c r="B531" s="26"/>
      <c r="C531" s="26"/>
      <c r="D531" s="27"/>
    </row>
    <row r="532">
      <c r="B532" s="26"/>
      <c r="C532" s="26"/>
      <c r="D532" s="27"/>
    </row>
    <row r="533">
      <c r="B533" s="26"/>
      <c r="C533" s="26"/>
      <c r="D533" s="27"/>
    </row>
    <row r="534">
      <c r="B534" s="26"/>
      <c r="C534" s="26"/>
      <c r="D534" s="27"/>
    </row>
    <row r="535">
      <c r="B535" s="26"/>
      <c r="C535" s="26"/>
      <c r="D535" s="27"/>
    </row>
    <row r="536">
      <c r="B536" s="26"/>
      <c r="C536" s="26"/>
      <c r="D536" s="27"/>
    </row>
    <row r="537">
      <c r="B537" s="26"/>
      <c r="C537" s="26"/>
      <c r="D537" s="27"/>
    </row>
    <row r="538">
      <c r="B538" s="26"/>
      <c r="C538" s="26"/>
      <c r="D538" s="27"/>
    </row>
    <row r="539">
      <c r="B539" s="26"/>
      <c r="C539" s="26"/>
      <c r="D539" s="27"/>
    </row>
    <row r="540">
      <c r="B540" s="26"/>
      <c r="C540" s="26"/>
      <c r="D540" s="27"/>
    </row>
    <row r="541">
      <c r="B541" s="26"/>
      <c r="C541" s="26"/>
      <c r="D541" s="27"/>
    </row>
    <row r="542">
      <c r="B542" s="26"/>
      <c r="C542" s="26"/>
      <c r="D542" s="27"/>
    </row>
    <row r="543">
      <c r="B543" s="26"/>
      <c r="C543" s="26"/>
      <c r="D543" s="27"/>
    </row>
    <row r="544">
      <c r="B544" s="26"/>
      <c r="C544" s="26"/>
      <c r="D544" s="27"/>
    </row>
    <row r="545">
      <c r="B545" s="26"/>
      <c r="C545" s="26"/>
      <c r="D545" s="27"/>
    </row>
    <row r="546">
      <c r="B546" s="26"/>
      <c r="C546" s="26"/>
      <c r="D546" s="27"/>
    </row>
    <row r="547">
      <c r="B547" s="26"/>
      <c r="C547" s="26"/>
      <c r="D547" s="27"/>
    </row>
    <row r="548">
      <c r="B548" s="26"/>
      <c r="C548" s="26"/>
      <c r="D548" s="27"/>
    </row>
    <row r="549">
      <c r="B549" s="26"/>
      <c r="C549" s="26"/>
      <c r="D549" s="27"/>
    </row>
    <row r="550">
      <c r="B550" s="26"/>
      <c r="C550" s="26"/>
      <c r="D550" s="27"/>
    </row>
    <row r="551">
      <c r="B551" s="26"/>
      <c r="C551" s="26"/>
      <c r="D551" s="27"/>
    </row>
    <row r="552">
      <c r="B552" s="26"/>
      <c r="C552" s="26"/>
      <c r="D552" s="27"/>
    </row>
    <row r="553">
      <c r="B553" s="26"/>
      <c r="C553" s="26"/>
      <c r="D553" s="27"/>
    </row>
    <row r="554">
      <c r="B554" s="26"/>
      <c r="C554" s="26"/>
      <c r="D554" s="27"/>
    </row>
    <row r="555">
      <c r="B555" s="26"/>
      <c r="C555" s="26"/>
      <c r="D555" s="27"/>
    </row>
    <row r="556">
      <c r="B556" s="26"/>
      <c r="C556" s="26"/>
      <c r="D556" s="27"/>
    </row>
    <row r="557">
      <c r="B557" s="26"/>
      <c r="C557" s="26"/>
      <c r="D557" s="27"/>
    </row>
    <row r="558">
      <c r="B558" s="26"/>
      <c r="C558" s="26"/>
      <c r="D558" s="27"/>
    </row>
    <row r="559">
      <c r="B559" s="26"/>
      <c r="C559" s="26"/>
      <c r="D559" s="27"/>
    </row>
    <row r="560">
      <c r="B560" s="26"/>
      <c r="C560" s="26"/>
      <c r="D560" s="27"/>
    </row>
    <row r="561">
      <c r="B561" s="26"/>
      <c r="C561" s="26"/>
      <c r="D561" s="27"/>
    </row>
    <row r="562">
      <c r="B562" s="26"/>
      <c r="C562" s="26"/>
      <c r="D562" s="27"/>
    </row>
    <row r="563">
      <c r="B563" s="26"/>
      <c r="C563" s="26"/>
      <c r="D563" s="27"/>
    </row>
    <row r="564">
      <c r="B564" s="26"/>
      <c r="C564" s="26"/>
      <c r="D564" s="27"/>
    </row>
    <row r="565">
      <c r="B565" s="26"/>
      <c r="C565" s="26"/>
      <c r="D565" s="27"/>
    </row>
    <row r="566">
      <c r="B566" s="26"/>
      <c r="C566" s="26"/>
      <c r="D566" s="27"/>
    </row>
    <row r="567">
      <c r="B567" s="26"/>
      <c r="C567" s="26"/>
      <c r="D567" s="27"/>
    </row>
    <row r="568">
      <c r="B568" s="26"/>
      <c r="C568" s="26"/>
      <c r="D568" s="27"/>
    </row>
    <row r="569">
      <c r="B569" s="26"/>
      <c r="C569" s="26"/>
      <c r="D569" s="27"/>
    </row>
    <row r="570">
      <c r="B570" s="26"/>
      <c r="C570" s="26"/>
      <c r="D570" s="27"/>
    </row>
    <row r="571">
      <c r="B571" s="26"/>
      <c r="C571" s="26"/>
      <c r="D571" s="27"/>
    </row>
    <row r="572">
      <c r="B572" s="26"/>
      <c r="C572" s="26"/>
      <c r="D572" s="27"/>
    </row>
    <row r="573">
      <c r="B573" s="26"/>
      <c r="C573" s="26"/>
      <c r="D573" s="27"/>
    </row>
    <row r="574">
      <c r="B574" s="26"/>
      <c r="C574" s="26"/>
      <c r="D574" s="27"/>
    </row>
    <row r="575">
      <c r="B575" s="26"/>
      <c r="C575" s="26"/>
      <c r="D575" s="27"/>
    </row>
    <row r="576">
      <c r="B576" s="26"/>
      <c r="C576" s="26"/>
      <c r="D576" s="27"/>
    </row>
    <row r="577">
      <c r="B577" s="26"/>
      <c r="C577" s="26"/>
      <c r="D577" s="27"/>
    </row>
    <row r="578">
      <c r="B578" s="26"/>
      <c r="C578" s="26"/>
      <c r="D578" s="27"/>
    </row>
    <row r="579">
      <c r="B579" s="26"/>
      <c r="C579" s="26"/>
      <c r="D579" s="27"/>
    </row>
    <row r="580">
      <c r="B580" s="26"/>
      <c r="C580" s="26"/>
      <c r="D580" s="27"/>
    </row>
    <row r="581">
      <c r="B581" s="26"/>
      <c r="C581" s="26"/>
      <c r="D581" s="27"/>
    </row>
    <row r="582">
      <c r="B582" s="26"/>
      <c r="C582" s="26"/>
      <c r="D582" s="27"/>
    </row>
    <row r="583">
      <c r="B583" s="26"/>
      <c r="C583" s="26"/>
      <c r="D583" s="27"/>
    </row>
    <row r="584">
      <c r="B584" s="26"/>
      <c r="C584" s="26"/>
      <c r="D584" s="27"/>
    </row>
    <row r="585">
      <c r="B585" s="26"/>
      <c r="C585" s="26"/>
      <c r="D585" s="27"/>
    </row>
    <row r="586">
      <c r="B586" s="26"/>
      <c r="C586" s="26"/>
      <c r="D586" s="27"/>
    </row>
    <row r="587">
      <c r="B587" s="26"/>
      <c r="C587" s="26"/>
      <c r="D587" s="27"/>
    </row>
    <row r="588">
      <c r="B588" s="26"/>
      <c r="C588" s="26"/>
      <c r="D588" s="27"/>
    </row>
    <row r="589">
      <c r="B589" s="26"/>
      <c r="C589" s="26"/>
      <c r="D589" s="27"/>
    </row>
    <row r="590">
      <c r="B590" s="26"/>
      <c r="C590" s="26"/>
      <c r="D590" s="27"/>
    </row>
    <row r="591">
      <c r="B591" s="26"/>
      <c r="C591" s="26"/>
      <c r="D591" s="27"/>
    </row>
    <row r="592">
      <c r="B592" s="26"/>
      <c r="C592" s="26"/>
      <c r="D592" s="27"/>
    </row>
    <row r="593">
      <c r="B593" s="26"/>
      <c r="C593" s="26"/>
      <c r="D593" s="27"/>
    </row>
    <row r="594">
      <c r="B594" s="26"/>
      <c r="C594" s="26"/>
      <c r="D594" s="27"/>
    </row>
    <row r="595">
      <c r="B595" s="26"/>
      <c r="C595" s="26"/>
      <c r="D595" s="27"/>
    </row>
    <row r="596">
      <c r="B596" s="26"/>
      <c r="C596" s="26"/>
      <c r="D596" s="27"/>
    </row>
    <row r="597">
      <c r="B597" s="26"/>
      <c r="C597" s="26"/>
      <c r="D597" s="27"/>
    </row>
    <row r="598">
      <c r="B598" s="26"/>
      <c r="C598" s="26"/>
      <c r="D598" s="27"/>
    </row>
    <row r="599">
      <c r="B599" s="26"/>
      <c r="C599" s="26"/>
      <c r="D599" s="27"/>
    </row>
    <row r="600">
      <c r="B600" s="26"/>
      <c r="C600" s="26"/>
      <c r="D600" s="27"/>
    </row>
    <row r="601">
      <c r="B601" s="26"/>
      <c r="C601" s="26"/>
      <c r="D601" s="27"/>
    </row>
    <row r="602">
      <c r="B602" s="26"/>
      <c r="C602" s="26"/>
      <c r="D602" s="27"/>
    </row>
    <row r="603">
      <c r="B603" s="26"/>
      <c r="C603" s="26"/>
      <c r="D603" s="27"/>
    </row>
    <row r="604">
      <c r="B604" s="26"/>
      <c r="C604" s="26"/>
      <c r="D604" s="27"/>
    </row>
    <row r="605">
      <c r="B605" s="26"/>
      <c r="C605" s="26"/>
      <c r="D605" s="27"/>
    </row>
    <row r="606">
      <c r="B606" s="26"/>
      <c r="C606" s="26"/>
      <c r="D606" s="27"/>
    </row>
    <row r="607">
      <c r="B607" s="26"/>
      <c r="C607" s="26"/>
      <c r="D607" s="27"/>
    </row>
    <row r="608">
      <c r="B608" s="26"/>
      <c r="C608" s="26"/>
      <c r="D608" s="27"/>
    </row>
    <row r="609">
      <c r="B609" s="26"/>
      <c r="C609" s="26"/>
      <c r="D609" s="27"/>
    </row>
    <row r="610">
      <c r="B610" s="26"/>
      <c r="C610" s="26"/>
      <c r="D610" s="27"/>
    </row>
    <row r="611">
      <c r="B611" s="26"/>
      <c r="C611" s="26"/>
      <c r="D611" s="27"/>
    </row>
    <row r="612">
      <c r="B612" s="26"/>
      <c r="C612" s="26"/>
      <c r="D612" s="27"/>
    </row>
    <row r="613">
      <c r="B613" s="26"/>
      <c r="C613" s="26"/>
      <c r="D613" s="27"/>
    </row>
    <row r="614">
      <c r="B614" s="26"/>
      <c r="C614" s="26"/>
      <c r="D614" s="27"/>
    </row>
    <row r="615">
      <c r="B615" s="26"/>
      <c r="C615" s="26"/>
      <c r="D615" s="27"/>
    </row>
    <row r="616">
      <c r="B616" s="26"/>
      <c r="C616" s="26"/>
      <c r="D616" s="27"/>
    </row>
    <row r="617">
      <c r="B617" s="26"/>
      <c r="C617" s="26"/>
      <c r="D617" s="27"/>
    </row>
    <row r="618">
      <c r="B618" s="26"/>
      <c r="C618" s="26"/>
      <c r="D618" s="27"/>
    </row>
    <row r="619">
      <c r="B619" s="26"/>
      <c r="C619" s="26"/>
      <c r="D619" s="27"/>
    </row>
    <row r="620">
      <c r="B620" s="26"/>
      <c r="C620" s="26"/>
      <c r="D620" s="27"/>
    </row>
    <row r="621">
      <c r="B621" s="26"/>
      <c r="C621" s="26"/>
      <c r="D621" s="27"/>
    </row>
    <row r="622">
      <c r="B622" s="26"/>
      <c r="C622" s="26"/>
      <c r="D622" s="27"/>
    </row>
    <row r="623">
      <c r="B623" s="26"/>
      <c r="C623" s="26"/>
      <c r="D623" s="27"/>
    </row>
    <row r="624">
      <c r="B624" s="26"/>
      <c r="C624" s="26"/>
      <c r="D624" s="27"/>
    </row>
    <row r="625">
      <c r="B625" s="26"/>
      <c r="C625" s="26"/>
      <c r="D625" s="27"/>
    </row>
    <row r="626">
      <c r="B626" s="26"/>
      <c r="C626" s="26"/>
      <c r="D626" s="27"/>
    </row>
    <row r="627">
      <c r="B627" s="26"/>
      <c r="C627" s="26"/>
      <c r="D627" s="27"/>
    </row>
    <row r="628">
      <c r="B628" s="26"/>
      <c r="C628" s="26"/>
      <c r="D628" s="27"/>
    </row>
    <row r="629">
      <c r="B629" s="26"/>
      <c r="C629" s="26"/>
      <c r="D629" s="27"/>
    </row>
    <row r="630">
      <c r="B630" s="26"/>
      <c r="C630" s="26"/>
      <c r="D630" s="27"/>
    </row>
    <row r="631">
      <c r="B631" s="26"/>
      <c r="C631" s="26"/>
      <c r="D631" s="27"/>
    </row>
    <row r="632">
      <c r="B632" s="26"/>
      <c r="C632" s="26"/>
      <c r="D632" s="27"/>
    </row>
    <row r="633">
      <c r="B633" s="26"/>
      <c r="C633" s="26"/>
      <c r="D633" s="27"/>
    </row>
    <row r="634">
      <c r="B634" s="26"/>
      <c r="C634" s="26"/>
      <c r="D634" s="27"/>
    </row>
    <row r="635">
      <c r="B635" s="26"/>
      <c r="C635" s="26"/>
      <c r="D635" s="27"/>
    </row>
    <row r="636">
      <c r="B636" s="26"/>
      <c r="C636" s="26"/>
      <c r="D636" s="27"/>
    </row>
    <row r="637">
      <c r="B637" s="26"/>
      <c r="C637" s="26"/>
      <c r="D637" s="27"/>
    </row>
    <row r="638">
      <c r="B638" s="26"/>
      <c r="C638" s="26"/>
      <c r="D638" s="27"/>
    </row>
    <row r="639">
      <c r="B639" s="26"/>
      <c r="C639" s="26"/>
      <c r="D639" s="27"/>
    </row>
    <row r="640">
      <c r="B640" s="26"/>
      <c r="C640" s="26"/>
      <c r="D640" s="27"/>
    </row>
    <row r="641">
      <c r="B641" s="26"/>
      <c r="C641" s="26"/>
      <c r="D641" s="27"/>
    </row>
    <row r="642">
      <c r="B642" s="26"/>
      <c r="C642" s="26"/>
      <c r="D642" s="27"/>
    </row>
    <row r="643">
      <c r="B643" s="26"/>
      <c r="C643" s="26"/>
      <c r="D643" s="27"/>
    </row>
    <row r="644">
      <c r="B644" s="26"/>
      <c r="C644" s="26"/>
      <c r="D644" s="27"/>
    </row>
    <row r="645">
      <c r="B645" s="26"/>
      <c r="C645" s="26"/>
      <c r="D645" s="27"/>
    </row>
    <row r="646">
      <c r="B646" s="26"/>
      <c r="C646" s="26"/>
      <c r="D646" s="27"/>
    </row>
    <row r="647">
      <c r="B647" s="26"/>
      <c r="C647" s="26"/>
      <c r="D647" s="27"/>
    </row>
    <row r="648">
      <c r="B648" s="26"/>
      <c r="C648" s="26"/>
      <c r="D648" s="27"/>
    </row>
    <row r="649">
      <c r="B649" s="26"/>
      <c r="C649" s="26"/>
      <c r="D649" s="27"/>
    </row>
    <row r="650">
      <c r="B650" s="26"/>
      <c r="C650" s="26"/>
      <c r="D650" s="27"/>
    </row>
    <row r="651">
      <c r="B651" s="26"/>
      <c r="C651" s="26"/>
      <c r="D651" s="27"/>
    </row>
    <row r="652">
      <c r="B652" s="26"/>
      <c r="C652" s="26"/>
      <c r="D652" s="27"/>
    </row>
    <row r="653">
      <c r="B653" s="26"/>
      <c r="C653" s="26"/>
      <c r="D653" s="27"/>
    </row>
    <row r="654">
      <c r="B654" s="26"/>
      <c r="C654" s="26"/>
      <c r="D654" s="27"/>
    </row>
    <row r="655">
      <c r="B655" s="26"/>
      <c r="C655" s="26"/>
      <c r="D655" s="27"/>
    </row>
    <row r="656">
      <c r="B656" s="26"/>
      <c r="C656" s="26"/>
      <c r="D656" s="27"/>
    </row>
    <row r="657">
      <c r="B657" s="26"/>
      <c r="C657" s="26"/>
      <c r="D657" s="27"/>
    </row>
    <row r="658">
      <c r="B658" s="26"/>
      <c r="C658" s="26"/>
      <c r="D658" s="27"/>
    </row>
    <row r="659">
      <c r="B659" s="26"/>
      <c r="C659" s="26"/>
      <c r="D659" s="27"/>
    </row>
    <row r="660">
      <c r="B660" s="26"/>
      <c r="C660" s="26"/>
      <c r="D660" s="27"/>
    </row>
    <row r="661">
      <c r="B661" s="26"/>
      <c r="C661" s="26"/>
      <c r="D661" s="27"/>
    </row>
    <row r="662">
      <c r="B662" s="26"/>
      <c r="C662" s="26"/>
      <c r="D662" s="27"/>
    </row>
    <row r="663">
      <c r="B663" s="26"/>
      <c r="C663" s="26"/>
      <c r="D663" s="27"/>
    </row>
    <row r="664">
      <c r="B664" s="26"/>
      <c r="C664" s="26"/>
      <c r="D664" s="27"/>
    </row>
    <row r="665">
      <c r="B665" s="26"/>
      <c r="C665" s="26"/>
      <c r="D665" s="27"/>
    </row>
    <row r="666">
      <c r="B666" s="26"/>
      <c r="C666" s="26"/>
      <c r="D666" s="27"/>
    </row>
    <row r="667">
      <c r="B667" s="26"/>
      <c r="C667" s="26"/>
      <c r="D667" s="27"/>
    </row>
    <row r="668">
      <c r="B668" s="26"/>
      <c r="C668" s="26"/>
      <c r="D668" s="27"/>
    </row>
    <row r="669">
      <c r="B669" s="26"/>
      <c r="C669" s="26"/>
      <c r="D669" s="27"/>
    </row>
    <row r="670">
      <c r="B670" s="26"/>
      <c r="C670" s="26"/>
      <c r="D670" s="27"/>
    </row>
    <row r="671">
      <c r="B671" s="26"/>
      <c r="C671" s="26"/>
      <c r="D671" s="27"/>
    </row>
    <row r="672">
      <c r="B672" s="26"/>
      <c r="C672" s="26"/>
      <c r="D672" s="27"/>
    </row>
    <row r="673">
      <c r="B673" s="26"/>
      <c r="C673" s="26"/>
      <c r="D673" s="27"/>
    </row>
    <row r="674">
      <c r="B674" s="26"/>
      <c r="C674" s="26"/>
      <c r="D674" s="27"/>
    </row>
    <row r="675">
      <c r="B675" s="26"/>
      <c r="C675" s="26"/>
      <c r="D675" s="27"/>
    </row>
    <row r="676">
      <c r="B676" s="26"/>
      <c r="C676" s="26"/>
      <c r="D676" s="27"/>
    </row>
    <row r="677">
      <c r="B677" s="26"/>
      <c r="C677" s="26"/>
      <c r="D677" s="27"/>
    </row>
    <row r="678">
      <c r="B678" s="26"/>
      <c r="C678" s="26"/>
      <c r="D678" s="27"/>
    </row>
    <row r="679">
      <c r="B679" s="26"/>
      <c r="C679" s="26"/>
      <c r="D679" s="27"/>
    </row>
    <row r="680">
      <c r="B680" s="26"/>
      <c r="C680" s="26"/>
      <c r="D680" s="27"/>
    </row>
    <row r="681">
      <c r="B681" s="26"/>
      <c r="C681" s="26"/>
      <c r="D681" s="27"/>
    </row>
    <row r="682">
      <c r="B682" s="26"/>
      <c r="C682" s="26"/>
      <c r="D682" s="27"/>
    </row>
    <row r="683">
      <c r="B683" s="26"/>
      <c r="C683" s="26"/>
      <c r="D683" s="27"/>
    </row>
    <row r="684">
      <c r="B684" s="26"/>
      <c r="C684" s="26"/>
      <c r="D684" s="27"/>
    </row>
    <row r="685">
      <c r="B685" s="26"/>
      <c r="C685" s="26"/>
      <c r="D685" s="27"/>
    </row>
    <row r="686">
      <c r="B686" s="26"/>
      <c r="C686" s="26"/>
      <c r="D686" s="27"/>
    </row>
    <row r="687">
      <c r="B687" s="26"/>
      <c r="C687" s="26"/>
      <c r="D687" s="27"/>
    </row>
    <row r="688">
      <c r="B688" s="26"/>
      <c r="C688" s="26"/>
      <c r="D688" s="27"/>
    </row>
    <row r="689">
      <c r="B689" s="26"/>
      <c r="C689" s="26"/>
      <c r="D689" s="27"/>
    </row>
    <row r="690">
      <c r="B690" s="26"/>
      <c r="C690" s="26"/>
      <c r="D690" s="27"/>
    </row>
    <row r="691">
      <c r="B691" s="26"/>
      <c r="C691" s="26"/>
      <c r="D691" s="27"/>
    </row>
    <row r="692">
      <c r="B692" s="26"/>
      <c r="C692" s="26"/>
      <c r="D692" s="27"/>
    </row>
    <row r="693">
      <c r="B693" s="26"/>
      <c r="C693" s="26"/>
      <c r="D693" s="27"/>
    </row>
    <row r="694">
      <c r="B694" s="26"/>
      <c r="C694" s="26"/>
      <c r="D694" s="27"/>
    </row>
    <row r="695">
      <c r="B695" s="26"/>
      <c r="C695" s="26"/>
      <c r="D695" s="27"/>
    </row>
    <row r="696">
      <c r="B696" s="26"/>
      <c r="C696" s="26"/>
      <c r="D696" s="27"/>
    </row>
    <row r="697">
      <c r="B697" s="26"/>
      <c r="C697" s="26"/>
      <c r="D697" s="27"/>
    </row>
    <row r="698">
      <c r="B698" s="26"/>
      <c r="C698" s="26"/>
      <c r="D698" s="27"/>
    </row>
    <row r="699">
      <c r="B699" s="26"/>
      <c r="C699" s="26"/>
      <c r="D699" s="27"/>
    </row>
    <row r="700">
      <c r="B700" s="26"/>
      <c r="C700" s="26"/>
      <c r="D700" s="27"/>
    </row>
    <row r="701">
      <c r="B701" s="26"/>
      <c r="C701" s="26"/>
      <c r="D701" s="27"/>
    </row>
    <row r="702">
      <c r="B702" s="26"/>
      <c r="C702" s="26"/>
      <c r="D702" s="27"/>
    </row>
    <row r="703">
      <c r="B703" s="26"/>
      <c r="C703" s="26"/>
      <c r="D703" s="27"/>
    </row>
    <row r="704">
      <c r="B704" s="26"/>
      <c r="C704" s="26"/>
      <c r="D704" s="27"/>
    </row>
    <row r="705">
      <c r="B705" s="26"/>
      <c r="C705" s="26"/>
      <c r="D705" s="27"/>
    </row>
    <row r="706">
      <c r="B706" s="26"/>
      <c r="C706" s="26"/>
      <c r="D706" s="27"/>
    </row>
    <row r="707">
      <c r="B707" s="26"/>
      <c r="C707" s="26"/>
      <c r="D707" s="27"/>
    </row>
    <row r="708">
      <c r="B708" s="26"/>
      <c r="C708" s="26"/>
      <c r="D708" s="27"/>
    </row>
    <row r="709">
      <c r="B709" s="26"/>
      <c r="C709" s="26"/>
      <c r="D709" s="27"/>
    </row>
    <row r="710">
      <c r="B710" s="26"/>
      <c r="C710" s="26"/>
      <c r="D710" s="27"/>
    </row>
    <row r="711">
      <c r="B711" s="26"/>
      <c r="C711" s="26"/>
      <c r="D711" s="27"/>
    </row>
    <row r="712">
      <c r="B712" s="26"/>
      <c r="C712" s="26"/>
      <c r="D712" s="27"/>
    </row>
    <row r="713">
      <c r="B713" s="26"/>
      <c r="C713" s="26"/>
      <c r="D713" s="27"/>
    </row>
    <row r="714">
      <c r="B714" s="26"/>
      <c r="C714" s="26"/>
      <c r="D714" s="27"/>
    </row>
    <row r="715">
      <c r="B715" s="26"/>
      <c r="C715" s="26"/>
      <c r="D715" s="27"/>
    </row>
    <row r="716">
      <c r="B716" s="26"/>
      <c r="C716" s="26"/>
      <c r="D716" s="27"/>
    </row>
    <row r="717">
      <c r="B717" s="26"/>
      <c r="C717" s="26"/>
      <c r="D717" s="27"/>
    </row>
    <row r="718">
      <c r="B718" s="26"/>
      <c r="C718" s="26"/>
      <c r="D718" s="27"/>
    </row>
    <row r="719">
      <c r="B719" s="26"/>
      <c r="C719" s="26"/>
      <c r="D719" s="27"/>
    </row>
    <row r="720">
      <c r="B720" s="26"/>
      <c r="C720" s="26"/>
      <c r="D720" s="27"/>
    </row>
    <row r="721">
      <c r="B721" s="26"/>
      <c r="C721" s="26"/>
      <c r="D721" s="27"/>
    </row>
    <row r="722">
      <c r="B722" s="26"/>
      <c r="C722" s="26"/>
      <c r="D722" s="27"/>
    </row>
    <row r="723">
      <c r="B723" s="26"/>
      <c r="C723" s="26"/>
      <c r="D723" s="27"/>
    </row>
    <row r="724">
      <c r="B724" s="26"/>
      <c r="C724" s="26"/>
      <c r="D724" s="27"/>
    </row>
    <row r="725">
      <c r="B725" s="26"/>
      <c r="C725" s="26"/>
      <c r="D725" s="27"/>
    </row>
    <row r="726">
      <c r="B726" s="26"/>
      <c r="C726" s="26"/>
      <c r="D726" s="27"/>
    </row>
    <row r="727">
      <c r="B727" s="26"/>
      <c r="C727" s="26"/>
      <c r="D727" s="27"/>
    </row>
    <row r="728">
      <c r="B728" s="26"/>
      <c r="C728" s="26"/>
      <c r="D728" s="27"/>
    </row>
    <row r="729">
      <c r="B729" s="26"/>
      <c r="C729" s="26"/>
      <c r="D729" s="27"/>
    </row>
    <row r="730">
      <c r="B730" s="26"/>
      <c r="C730" s="26"/>
      <c r="D730" s="27"/>
    </row>
    <row r="731">
      <c r="B731" s="26"/>
      <c r="C731" s="26"/>
      <c r="D731" s="27"/>
    </row>
    <row r="732">
      <c r="B732" s="26"/>
      <c r="C732" s="26"/>
      <c r="D732" s="27"/>
    </row>
    <row r="733">
      <c r="B733" s="26"/>
      <c r="C733" s="26"/>
      <c r="D733" s="27"/>
    </row>
    <row r="734">
      <c r="B734" s="26"/>
      <c r="C734" s="26"/>
      <c r="D734" s="27"/>
    </row>
    <row r="735">
      <c r="B735" s="26"/>
      <c r="C735" s="26"/>
      <c r="D735" s="27"/>
    </row>
    <row r="736">
      <c r="B736" s="26"/>
      <c r="C736" s="26"/>
      <c r="D736" s="27"/>
    </row>
    <row r="737">
      <c r="B737" s="26"/>
      <c r="C737" s="26"/>
      <c r="D737" s="27"/>
    </row>
    <row r="738">
      <c r="B738" s="26"/>
      <c r="C738" s="26"/>
      <c r="D738" s="27"/>
    </row>
    <row r="739">
      <c r="B739" s="26"/>
      <c r="C739" s="26"/>
      <c r="D739" s="27"/>
    </row>
    <row r="740">
      <c r="B740" s="26"/>
      <c r="C740" s="26"/>
      <c r="D740" s="27"/>
    </row>
    <row r="741">
      <c r="B741" s="26"/>
      <c r="C741" s="26"/>
      <c r="D741" s="27"/>
    </row>
    <row r="742">
      <c r="B742" s="26"/>
      <c r="C742" s="26"/>
      <c r="D742" s="27"/>
    </row>
    <row r="743">
      <c r="B743" s="26"/>
      <c r="C743" s="26"/>
      <c r="D743" s="27"/>
    </row>
    <row r="744">
      <c r="B744" s="26"/>
      <c r="C744" s="26"/>
      <c r="D744" s="27"/>
    </row>
    <row r="745">
      <c r="B745" s="26"/>
      <c r="C745" s="26"/>
      <c r="D745" s="27"/>
    </row>
    <row r="746">
      <c r="B746" s="26"/>
      <c r="C746" s="26"/>
      <c r="D746" s="27"/>
    </row>
    <row r="747">
      <c r="B747" s="26"/>
      <c r="C747" s="26"/>
      <c r="D747" s="27"/>
    </row>
    <row r="748">
      <c r="B748" s="26"/>
      <c r="C748" s="26"/>
      <c r="D748" s="27"/>
    </row>
    <row r="749">
      <c r="B749" s="26"/>
      <c r="C749" s="26"/>
      <c r="D749" s="27"/>
    </row>
    <row r="750">
      <c r="B750" s="26"/>
      <c r="C750" s="26"/>
      <c r="D750" s="27"/>
    </row>
    <row r="751">
      <c r="B751" s="26"/>
      <c r="C751" s="26"/>
      <c r="D751" s="27"/>
    </row>
    <row r="752">
      <c r="B752" s="26"/>
      <c r="C752" s="26"/>
      <c r="D752" s="27"/>
    </row>
    <row r="753">
      <c r="B753" s="26"/>
      <c r="C753" s="26"/>
      <c r="D753" s="27"/>
    </row>
    <row r="754">
      <c r="B754" s="26"/>
      <c r="C754" s="26"/>
      <c r="D754" s="27"/>
    </row>
    <row r="755">
      <c r="B755" s="26"/>
      <c r="C755" s="26"/>
      <c r="D755" s="27"/>
    </row>
    <row r="756">
      <c r="B756" s="26"/>
      <c r="C756" s="26"/>
      <c r="D756" s="27"/>
    </row>
    <row r="757">
      <c r="B757" s="26"/>
      <c r="C757" s="26"/>
      <c r="D757" s="27"/>
    </row>
    <row r="758">
      <c r="B758" s="26"/>
      <c r="C758" s="26"/>
      <c r="D758" s="27"/>
    </row>
    <row r="759">
      <c r="B759" s="26"/>
      <c r="C759" s="26"/>
      <c r="D759" s="27"/>
    </row>
    <row r="760">
      <c r="B760" s="26"/>
      <c r="C760" s="26"/>
      <c r="D760" s="27"/>
    </row>
    <row r="761">
      <c r="B761" s="26"/>
      <c r="C761" s="26"/>
      <c r="D761" s="27"/>
    </row>
    <row r="762">
      <c r="B762" s="26"/>
      <c r="C762" s="26"/>
      <c r="D762" s="27"/>
    </row>
    <row r="763">
      <c r="B763" s="26"/>
      <c r="C763" s="26"/>
      <c r="D763" s="27"/>
    </row>
    <row r="764">
      <c r="B764" s="26"/>
      <c r="C764" s="26"/>
      <c r="D764" s="27"/>
    </row>
    <row r="765">
      <c r="B765" s="26"/>
      <c r="C765" s="26"/>
      <c r="D765" s="27"/>
    </row>
    <row r="766">
      <c r="B766" s="26"/>
      <c r="C766" s="26"/>
      <c r="D766" s="27"/>
    </row>
    <row r="767">
      <c r="B767" s="26"/>
      <c r="C767" s="26"/>
      <c r="D767" s="27"/>
    </row>
    <row r="768">
      <c r="B768" s="26"/>
      <c r="C768" s="26"/>
      <c r="D768" s="27"/>
    </row>
    <row r="769">
      <c r="B769" s="26"/>
      <c r="C769" s="26"/>
      <c r="D769" s="27"/>
    </row>
    <row r="770">
      <c r="B770" s="26"/>
      <c r="C770" s="26"/>
      <c r="D770" s="27"/>
    </row>
    <row r="771">
      <c r="B771" s="26"/>
      <c r="C771" s="26"/>
      <c r="D771" s="27"/>
    </row>
    <row r="772">
      <c r="B772" s="26"/>
      <c r="C772" s="26"/>
      <c r="D772" s="27"/>
    </row>
    <row r="773">
      <c r="B773" s="26"/>
      <c r="C773" s="26"/>
      <c r="D773" s="27"/>
    </row>
    <row r="774">
      <c r="B774" s="26"/>
      <c r="C774" s="26"/>
      <c r="D774" s="27"/>
    </row>
    <row r="775">
      <c r="B775" s="26"/>
      <c r="C775" s="26"/>
      <c r="D775" s="27"/>
    </row>
    <row r="776">
      <c r="B776" s="26"/>
      <c r="C776" s="26"/>
      <c r="D776" s="27"/>
    </row>
    <row r="777">
      <c r="B777" s="26"/>
      <c r="C777" s="26"/>
      <c r="D777" s="27"/>
    </row>
    <row r="778">
      <c r="B778" s="26"/>
      <c r="C778" s="26"/>
      <c r="D778" s="27"/>
    </row>
    <row r="779">
      <c r="B779" s="26"/>
      <c r="C779" s="26"/>
      <c r="D779" s="27"/>
    </row>
    <row r="780">
      <c r="B780" s="26"/>
      <c r="C780" s="26"/>
      <c r="D780" s="27"/>
    </row>
    <row r="781">
      <c r="B781" s="26"/>
      <c r="C781" s="26"/>
      <c r="D781" s="27"/>
    </row>
    <row r="782">
      <c r="B782" s="26"/>
      <c r="C782" s="26"/>
      <c r="D782" s="27"/>
    </row>
    <row r="783">
      <c r="B783" s="26"/>
      <c r="C783" s="26"/>
      <c r="D783" s="27"/>
    </row>
    <row r="784">
      <c r="B784" s="26"/>
      <c r="C784" s="26"/>
      <c r="D784" s="27"/>
    </row>
    <row r="785">
      <c r="B785" s="26"/>
      <c r="C785" s="26"/>
      <c r="D785" s="27"/>
    </row>
    <row r="786">
      <c r="B786" s="26"/>
      <c r="C786" s="26"/>
      <c r="D786" s="27"/>
    </row>
    <row r="787">
      <c r="B787" s="26"/>
      <c r="C787" s="26"/>
      <c r="D787" s="27"/>
    </row>
    <row r="788">
      <c r="B788" s="26"/>
      <c r="C788" s="26"/>
      <c r="D788" s="27"/>
    </row>
    <row r="789">
      <c r="B789" s="26"/>
      <c r="C789" s="26"/>
      <c r="D789" s="27"/>
    </row>
    <row r="790">
      <c r="B790" s="26"/>
      <c r="C790" s="26"/>
      <c r="D790" s="27"/>
    </row>
    <row r="791">
      <c r="B791" s="26"/>
      <c r="C791" s="26"/>
      <c r="D791" s="27"/>
    </row>
    <row r="792">
      <c r="B792" s="26"/>
      <c r="C792" s="26"/>
      <c r="D792" s="27"/>
    </row>
    <row r="793">
      <c r="B793" s="26"/>
      <c r="C793" s="26"/>
      <c r="D793" s="27"/>
    </row>
    <row r="794">
      <c r="B794" s="26"/>
      <c r="C794" s="26"/>
      <c r="D794" s="27"/>
    </row>
    <row r="795">
      <c r="B795" s="26"/>
      <c r="C795" s="26"/>
      <c r="D795" s="27"/>
    </row>
    <row r="796">
      <c r="B796" s="26"/>
      <c r="C796" s="26"/>
      <c r="D796" s="27"/>
    </row>
    <row r="797">
      <c r="B797" s="26"/>
      <c r="C797" s="26"/>
      <c r="D797" s="27"/>
    </row>
    <row r="798">
      <c r="B798" s="26"/>
      <c r="C798" s="26"/>
      <c r="D798" s="27"/>
    </row>
    <row r="799">
      <c r="B799" s="26"/>
      <c r="C799" s="26"/>
      <c r="D799" s="27"/>
    </row>
    <row r="800">
      <c r="B800" s="26"/>
      <c r="C800" s="26"/>
      <c r="D800" s="27"/>
    </row>
    <row r="801">
      <c r="B801" s="26"/>
      <c r="C801" s="26"/>
      <c r="D801" s="27"/>
    </row>
    <row r="802">
      <c r="B802" s="26"/>
      <c r="C802" s="26"/>
      <c r="D802" s="27"/>
    </row>
    <row r="803">
      <c r="B803" s="26"/>
      <c r="C803" s="26"/>
      <c r="D803" s="27"/>
    </row>
    <row r="804">
      <c r="B804" s="26"/>
      <c r="C804" s="26"/>
      <c r="D804" s="27"/>
    </row>
    <row r="805">
      <c r="B805" s="26"/>
      <c r="C805" s="26"/>
      <c r="D805" s="27"/>
    </row>
    <row r="806">
      <c r="B806" s="26"/>
      <c r="C806" s="26"/>
      <c r="D806" s="27"/>
    </row>
    <row r="807">
      <c r="B807" s="26"/>
      <c r="C807" s="26"/>
      <c r="D807" s="27"/>
    </row>
    <row r="808">
      <c r="B808" s="26"/>
      <c r="C808" s="26"/>
      <c r="D808" s="27"/>
    </row>
    <row r="809">
      <c r="B809" s="26"/>
      <c r="C809" s="26"/>
      <c r="D809" s="27"/>
    </row>
    <row r="810">
      <c r="B810" s="26"/>
      <c r="C810" s="26"/>
      <c r="D810" s="27"/>
    </row>
    <row r="811">
      <c r="B811" s="26"/>
      <c r="C811" s="26"/>
      <c r="D811" s="27"/>
    </row>
    <row r="812">
      <c r="B812" s="26"/>
      <c r="C812" s="26"/>
      <c r="D812" s="27"/>
    </row>
    <row r="813">
      <c r="B813" s="26"/>
      <c r="C813" s="26"/>
      <c r="D813" s="27"/>
    </row>
    <row r="814">
      <c r="B814" s="26"/>
      <c r="C814" s="26"/>
      <c r="D814" s="27"/>
    </row>
    <row r="815">
      <c r="B815" s="26"/>
      <c r="C815" s="26"/>
      <c r="D815" s="27"/>
    </row>
    <row r="816">
      <c r="B816" s="26"/>
      <c r="C816" s="26"/>
      <c r="D816" s="27"/>
    </row>
    <row r="817">
      <c r="B817" s="26"/>
      <c r="C817" s="26"/>
      <c r="D817" s="27"/>
    </row>
    <row r="818">
      <c r="B818" s="26"/>
      <c r="C818" s="26"/>
      <c r="D818" s="27"/>
    </row>
    <row r="819">
      <c r="B819" s="26"/>
      <c r="C819" s="26"/>
      <c r="D819" s="27"/>
    </row>
    <row r="820">
      <c r="B820" s="26"/>
      <c r="C820" s="26"/>
      <c r="D820" s="27"/>
    </row>
    <row r="821">
      <c r="B821" s="26"/>
      <c r="C821" s="26"/>
      <c r="D821" s="27"/>
    </row>
    <row r="822">
      <c r="B822" s="26"/>
      <c r="C822" s="26"/>
      <c r="D822" s="27"/>
    </row>
    <row r="823">
      <c r="B823" s="26"/>
      <c r="C823" s="26"/>
      <c r="D823" s="27"/>
    </row>
    <row r="824">
      <c r="B824" s="26"/>
      <c r="C824" s="26"/>
      <c r="D824" s="27"/>
    </row>
    <row r="825">
      <c r="B825" s="26"/>
      <c r="C825" s="26"/>
      <c r="D825" s="27"/>
    </row>
    <row r="826">
      <c r="B826" s="26"/>
      <c r="C826" s="26"/>
      <c r="D826" s="27"/>
    </row>
    <row r="827">
      <c r="B827" s="26"/>
      <c r="C827" s="26"/>
      <c r="D827" s="27"/>
    </row>
    <row r="828">
      <c r="B828" s="26"/>
      <c r="C828" s="26"/>
      <c r="D828" s="27"/>
    </row>
    <row r="829">
      <c r="B829" s="26"/>
      <c r="C829" s="26"/>
      <c r="D829" s="27"/>
    </row>
    <row r="830">
      <c r="B830" s="26"/>
      <c r="C830" s="26"/>
      <c r="D830" s="27"/>
    </row>
    <row r="831">
      <c r="B831" s="26"/>
      <c r="C831" s="26"/>
      <c r="D831" s="27"/>
    </row>
    <row r="832">
      <c r="B832" s="26"/>
      <c r="C832" s="26"/>
      <c r="D832" s="27"/>
    </row>
    <row r="833">
      <c r="B833" s="26"/>
      <c r="C833" s="26"/>
      <c r="D833" s="27"/>
    </row>
    <row r="834">
      <c r="B834" s="26"/>
      <c r="C834" s="26"/>
      <c r="D834" s="27"/>
    </row>
    <row r="835">
      <c r="B835" s="26"/>
      <c r="C835" s="26"/>
      <c r="D835" s="27"/>
    </row>
    <row r="836">
      <c r="B836" s="26"/>
      <c r="C836" s="26"/>
      <c r="D836" s="27"/>
    </row>
    <row r="837">
      <c r="B837" s="26"/>
      <c r="C837" s="26"/>
      <c r="D837" s="27"/>
    </row>
    <row r="838">
      <c r="B838" s="26"/>
      <c r="C838" s="26"/>
      <c r="D838" s="27"/>
    </row>
    <row r="839">
      <c r="B839" s="26"/>
      <c r="C839" s="26"/>
      <c r="D839" s="27"/>
    </row>
    <row r="840">
      <c r="B840" s="26"/>
      <c r="C840" s="26"/>
      <c r="D840" s="27"/>
    </row>
    <row r="841">
      <c r="B841" s="26"/>
      <c r="C841" s="26"/>
      <c r="D841" s="27"/>
    </row>
    <row r="842">
      <c r="B842" s="26"/>
      <c r="C842" s="26"/>
      <c r="D842" s="27"/>
    </row>
    <row r="843">
      <c r="B843" s="26"/>
      <c r="C843" s="26"/>
      <c r="D843" s="27"/>
    </row>
    <row r="844">
      <c r="B844" s="26"/>
      <c r="C844" s="26"/>
      <c r="D844" s="27"/>
    </row>
    <row r="845">
      <c r="B845" s="26"/>
      <c r="C845" s="26"/>
      <c r="D845" s="27"/>
    </row>
    <row r="846">
      <c r="B846" s="26"/>
      <c r="C846" s="26"/>
      <c r="D846" s="27"/>
    </row>
    <row r="847">
      <c r="B847" s="26"/>
      <c r="C847" s="26"/>
      <c r="D847" s="27"/>
    </row>
    <row r="848">
      <c r="B848" s="26"/>
      <c r="C848" s="26"/>
      <c r="D848" s="27"/>
    </row>
    <row r="849">
      <c r="B849" s="26"/>
      <c r="C849" s="26"/>
      <c r="D849" s="27"/>
    </row>
    <row r="850">
      <c r="B850" s="26"/>
      <c r="C850" s="26"/>
      <c r="D850" s="27"/>
    </row>
    <row r="851">
      <c r="B851" s="26"/>
      <c r="C851" s="26"/>
      <c r="D851" s="27"/>
    </row>
    <row r="852">
      <c r="B852" s="26"/>
      <c r="C852" s="26"/>
      <c r="D852" s="27"/>
    </row>
    <row r="853">
      <c r="B853" s="26"/>
      <c r="C853" s="26"/>
      <c r="D853" s="27"/>
    </row>
    <row r="854">
      <c r="B854" s="26"/>
      <c r="C854" s="26"/>
      <c r="D854" s="27"/>
    </row>
    <row r="855">
      <c r="B855" s="26"/>
      <c r="C855" s="26"/>
      <c r="D855" s="27"/>
    </row>
    <row r="856">
      <c r="B856" s="26"/>
      <c r="C856" s="26"/>
      <c r="D856" s="27"/>
    </row>
    <row r="857">
      <c r="B857" s="26"/>
      <c r="C857" s="26"/>
      <c r="D857" s="27"/>
    </row>
    <row r="858">
      <c r="B858" s="26"/>
      <c r="C858" s="26"/>
      <c r="D858" s="27"/>
    </row>
    <row r="859">
      <c r="B859" s="26"/>
      <c r="C859" s="26"/>
      <c r="D859" s="27"/>
    </row>
    <row r="860">
      <c r="B860" s="26"/>
      <c r="C860" s="26"/>
      <c r="D860" s="27"/>
    </row>
    <row r="861">
      <c r="B861" s="26"/>
      <c r="C861" s="26"/>
      <c r="D861" s="27"/>
    </row>
    <row r="862">
      <c r="B862" s="26"/>
      <c r="C862" s="26"/>
      <c r="D862" s="27"/>
    </row>
    <row r="863">
      <c r="B863" s="26"/>
      <c r="C863" s="26"/>
      <c r="D863" s="27"/>
    </row>
    <row r="864">
      <c r="B864" s="26"/>
      <c r="C864" s="26"/>
      <c r="D864" s="27"/>
    </row>
    <row r="865">
      <c r="B865" s="26"/>
      <c r="C865" s="26"/>
      <c r="D865" s="27"/>
    </row>
    <row r="866">
      <c r="B866" s="26"/>
      <c r="C866" s="26"/>
      <c r="D866" s="27"/>
    </row>
    <row r="867">
      <c r="B867" s="26"/>
      <c r="C867" s="26"/>
      <c r="D867" s="27"/>
    </row>
    <row r="868">
      <c r="B868" s="26"/>
      <c r="C868" s="26"/>
      <c r="D868" s="27"/>
    </row>
    <row r="869">
      <c r="B869" s="26"/>
      <c r="C869" s="26"/>
      <c r="D869" s="27"/>
    </row>
    <row r="870">
      <c r="B870" s="26"/>
      <c r="C870" s="26"/>
      <c r="D870" s="27"/>
    </row>
    <row r="871">
      <c r="B871" s="26"/>
      <c r="C871" s="26"/>
      <c r="D871" s="27"/>
    </row>
    <row r="872">
      <c r="B872" s="26"/>
      <c r="C872" s="26"/>
      <c r="D872" s="27"/>
    </row>
    <row r="873">
      <c r="B873" s="26"/>
      <c r="C873" s="26"/>
      <c r="D873" s="27"/>
    </row>
    <row r="874">
      <c r="B874" s="26"/>
      <c r="C874" s="26"/>
      <c r="D874" s="27"/>
    </row>
    <row r="875">
      <c r="B875" s="26"/>
      <c r="C875" s="26"/>
      <c r="D875" s="27"/>
    </row>
    <row r="876">
      <c r="B876" s="26"/>
      <c r="C876" s="26"/>
      <c r="D876" s="27"/>
    </row>
    <row r="877">
      <c r="B877" s="26"/>
      <c r="C877" s="26"/>
      <c r="D877" s="27"/>
    </row>
    <row r="878">
      <c r="B878" s="26"/>
      <c r="C878" s="26"/>
      <c r="D878" s="27"/>
    </row>
    <row r="879">
      <c r="B879" s="26"/>
      <c r="C879" s="26"/>
      <c r="D879" s="27"/>
    </row>
    <row r="880">
      <c r="B880" s="26"/>
      <c r="C880" s="26"/>
      <c r="D880" s="27"/>
    </row>
    <row r="881">
      <c r="B881" s="26"/>
      <c r="C881" s="26"/>
      <c r="D881" s="27"/>
    </row>
    <row r="882">
      <c r="B882" s="26"/>
      <c r="C882" s="26"/>
      <c r="D882" s="27"/>
    </row>
    <row r="883">
      <c r="B883" s="26"/>
      <c r="C883" s="26"/>
      <c r="D883" s="27"/>
    </row>
    <row r="884">
      <c r="B884" s="26"/>
      <c r="C884" s="26"/>
      <c r="D884" s="27"/>
    </row>
    <row r="885">
      <c r="B885" s="26"/>
      <c r="C885" s="26"/>
      <c r="D885" s="27"/>
    </row>
    <row r="886">
      <c r="B886" s="26"/>
      <c r="C886" s="26"/>
      <c r="D886" s="27"/>
    </row>
    <row r="887">
      <c r="B887" s="26"/>
      <c r="C887" s="26"/>
      <c r="D887" s="27"/>
    </row>
    <row r="888">
      <c r="B888" s="26"/>
      <c r="C888" s="26"/>
      <c r="D888" s="27"/>
    </row>
    <row r="889">
      <c r="B889" s="26"/>
      <c r="C889" s="26"/>
      <c r="D889" s="27"/>
    </row>
    <row r="890">
      <c r="B890" s="26"/>
      <c r="C890" s="26"/>
      <c r="D890" s="27"/>
    </row>
    <row r="891">
      <c r="B891" s="26"/>
      <c r="C891" s="26"/>
      <c r="D891" s="27"/>
    </row>
    <row r="892">
      <c r="B892" s="26"/>
      <c r="C892" s="26"/>
      <c r="D892" s="27"/>
    </row>
    <row r="893">
      <c r="B893" s="26"/>
      <c r="C893" s="26"/>
      <c r="D893" s="27"/>
    </row>
    <row r="894">
      <c r="B894" s="26"/>
      <c r="C894" s="26"/>
      <c r="D894" s="27"/>
    </row>
    <row r="895">
      <c r="B895" s="26"/>
      <c r="C895" s="26"/>
      <c r="D895" s="27"/>
    </row>
    <row r="896">
      <c r="B896" s="26"/>
      <c r="C896" s="26"/>
      <c r="D896" s="27"/>
    </row>
    <row r="897">
      <c r="B897" s="26"/>
      <c r="C897" s="26"/>
      <c r="D897" s="27"/>
    </row>
    <row r="898">
      <c r="B898" s="26"/>
      <c r="C898" s="26"/>
      <c r="D898" s="27"/>
    </row>
    <row r="899">
      <c r="B899" s="26"/>
      <c r="C899" s="26"/>
      <c r="D899" s="27"/>
    </row>
    <row r="900">
      <c r="B900" s="26"/>
      <c r="C900" s="26"/>
      <c r="D900" s="27"/>
    </row>
    <row r="901">
      <c r="B901" s="26"/>
      <c r="C901" s="26"/>
      <c r="D901" s="27"/>
    </row>
    <row r="902">
      <c r="B902" s="26"/>
      <c r="C902" s="26"/>
      <c r="D902" s="27"/>
    </row>
    <row r="903">
      <c r="B903" s="26"/>
      <c r="C903" s="26"/>
      <c r="D903" s="27"/>
    </row>
    <row r="904">
      <c r="B904" s="26"/>
      <c r="C904" s="26"/>
      <c r="D904" s="27"/>
    </row>
    <row r="905">
      <c r="B905" s="26"/>
      <c r="C905" s="26"/>
      <c r="D905" s="27"/>
    </row>
    <row r="906">
      <c r="B906" s="26"/>
      <c r="C906" s="26"/>
      <c r="D906" s="27"/>
    </row>
    <row r="907">
      <c r="B907" s="26"/>
      <c r="C907" s="26"/>
      <c r="D907" s="27"/>
    </row>
    <row r="908">
      <c r="B908" s="26"/>
      <c r="C908" s="26"/>
      <c r="D908" s="27"/>
    </row>
    <row r="909">
      <c r="B909" s="26"/>
      <c r="C909" s="26"/>
      <c r="D909" s="27"/>
    </row>
    <row r="910">
      <c r="B910" s="26"/>
      <c r="C910" s="26"/>
      <c r="D910" s="27"/>
    </row>
    <row r="911">
      <c r="B911" s="26"/>
      <c r="C911" s="26"/>
      <c r="D911" s="27"/>
    </row>
    <row r="912">
      <c r="B912" s="26"/>
      <c r="C912" s="26"/>
      <c r="D912" s="27"/>
    </row>
    <row r="913">
      <c r="B913" s="26"/>
      <c r="C913" s="26"/>
      <c r="D913" s="27"/>
    </row>
    <row r="914">
      <c r="B914" s="26"/>
      <c r="C914" s="26"/>
      <c r="D914" s="27"/>
    </row>
    <row r="915">
      <c r="B915" s="26"/>
      <c r="C915" s="26"/>
      <c r="D915" s="27"/>
    </row>
    <row r="916">
      <c r="B916" s="26"/>
      <c r="C916" s="26"/>
      <c r="D916" s="27"/>
    </row>
    <row r="917">
      <c r="B917" s="26"/>
      <c r="C917" s="26"/>
      <c r="D917" s="27"/>
    </row>
    <row r="918">
      <c r="B918" s="26"/>
      <c r="C918" s="26"/>
      <c r="D918" s="27"/>
    </row>
    <row r="919">
      <c r="B919" s="26"/>
      <c r="C919" s="26"/>
      <c r="D919" s="27"/>
    </row>
    <row r="920">
      <c r="B920" s="26"/>
      <c r="C920" s="26"/>
      <c r="D920" s="27"/>
    </row>
    <row r="921">
      <c r="B921" s="26"/>
      <c r="C921" s="26"/>
      <c r="D921" s="27"/>
    </row>
    <row r="922">
      <c r="B922" s="26"/>
      <c r="C922" s="26"/>
      <c r="D922" s="27"/>
    </row>
    <row r="923">
      <c r="B923" s="26"/>
      <c r="C923" s="26"/>
      <c r="D923" s="27"/>
    </row>
    <row r="924">
      <c r="B924" s="26"/>
      <c r="C924" s="26"/>
      <c r="D924" s="27"/>
    </row>
    <row r="925">
      <c r="B925" s="26"/>
      <c r="C925" s="26"/>
      <c r="D925" s="27"/>
    </row>
    <row r="926">
      <c r="B926" s="26"/>
      <c r="C926" s="26"/>
      <c r="D926" s="27"/>
    </row>
    <row r="927">
      <c r="B927" s="26"/>
      <c r="C927" s="26"/>
      <c r="D927" s="27"/>
    </row>
    <row r="928">
      <c r="B928" s="26"/>
      <c r="C928" s="26"/>
      <c r="D928" s="27"/>
    </row>
    <row r="929">
      <c r="B929" s="26"/>
      <c r="C929" s="26"/>
      <c r="D929" s="27"/>
    </row>
    <row r="930">
      <c r="B930" s="26"/>
      <c r="C930" s="26"/>
      <c r="D930" s="27"/>
    </row>
    <row r="931">
      <c r="B931" s="26"/>
      <c r="C931" s="26"/>
      <c r="D931" s="27"/>
    </row>
    <row r="932">
      <c r="B932" s="26"/>
      <c r="C932" s="26"/>
      <c r="D932" s="27"/>
    </row>
    <row r="933">
      <c r="B933" s="26"/>
      <c r="C933" s="26"/>
      <c r="D933" s="27"/>
    </row>
    <row r="934">
      <c r="B934" s="26"/>
      <c r="C934" s="26"/>
      <c r="D934" s="27"/>
    </row>
    <row r="935">
      <c r="B935" s="26"/>
      <c r="C935" s="26"/>
      <c r="D935" s="27"/>
    </row>
    <row r="936">
      <c r="B936" s="26"/>
      <c r="C936" s="26"/>
      <c r="D936" s="27"/>
    </row>
    <row r="937">
      <c r="B937" s="26"/>
      <c r="C937" s="26"/>
      <c r="D937" s="27"/>
    </row>
    <row r="938">
      <c r="B938" s="26"/>
      <c r="C938" s="26"/>
      <c r="D938" s="27"/>
    </row>
    <row r="939">
      <c r="B939" s="26"/>
      <c r="C939" s="26"/>
      <c r="D939" s="27"/>
    </row>
    <row r="940">
      <c r="B940" s="26"/>
      <c r="C940" s="26"/>
      <c r="D940" s="27"/>
    </row>
    <row r="941">
      <c r="B941" s="26"/>
      <c r="C941" s="26"/>
      <c r="D941" s="27"/>
    </row>
    <row r="942">
      <c r="B942" s="26"/>
      <c r="C942" s="26"/>
      <c r="D942" s="27"/>
    </row>
    <row r="943">
      <c r="B943" s="26"/>
      <c r="C943" s="26"/>
      <c r="D943" s="27"/>
    </row>
    <row r="944">
      <c r="B944" s="26"/>
      <c r="C944" s="26"/>
      <c r="D944" s="27"/>
    </row>
    <row r="945">
      <c r="B945" s="26"/>
      <c r="C945" s="26"/>
      <c r="D945" s="27"/>
    </row>
    <row r="946">
      <c r="B946" s="26"/>
      <c r="C946" s="26"/>
      <c r="D946" s="27"/>
    </row>
    <row r="947">
      <c r="B947" s="26"/>
      <c r="C947" s="26"/>
      <c r="D947" s="27"/>
    </row>
    <row r="948">
      <c r="B948" s="26"/>
      <c r="C948" s="26"/>
      <c r="D948" s="27"/>
    </row>
    <row r="949">
      <c r="B949" s="26"/>
      <c r="C949" s="26"/>
      <c r="D949" s="27"/>
    </row>
    <row r="950">
      <c r="B950" s="26"/>
      <c r="C950" s="26"/>
      <c r="D950" s="27"/>
    </row>
    <row r="951">
      <c r="B951" s="26"/>
      <c r="C951" s="26"/>
      <c r="D951" s="27"/>
    </row>
    <row r="952">
      <c r="B952" s="26"/>
      <c r="C952" s="26"/>
      <c r="D952" s="27"/>
    </row>
    <row r="953">
      <c r="B953" s="26"/>
      <c r="C953" s="26"/>
      <c r="D953" s="27"/>
    </row>
    <row r="954">
      <c r="B954" s="26"/>
      <c r="C954" s="26"/>
      <c r="D954" s="27"/>
    </row>
    <row r="955">
      <c r="B955" s="26"/>
      <c r="C955" s="26"/>
      <c r="D955" s="27"/>
    </row>
    <row r="956">
      <c r="B956" s="26"/>
      <c r="C956" s="26"/>
      <c r="D956" s="27"/>
    </row>
    <row r="957">
      <c r="B957" s="26"/>
      <c r="C957" s="26"/>
      <c r="D957" s="27"/>
    </row>
    <row r="958">
      <c r="B958" s="26"/>
      <c r="C958" s="26"/>
      <c r="D958" s="27"/>
    </row>
    <row r="959">
      <c r="B959" s="26"/>
      <c r="C959" s="26"/>
      <c r="D959" s="27"/>
    </row>
    <row r="960">
      <c r="B960" s="26"/>
      <c r="C960" s="26"/>
      <c r="D960" s="27"/>
    </row>
    <row r="961">
      <c r="B961" s="26"/>
      <c r="C961" s="26"/>
      <c r="D961" s="27"/>
    </row>
    <row r="962">
      <c r="B962" s="26"/>
      <c r="C962" s="26"/>
      <c r="D962" s="27"/>
    </row>
    <row r="963">
      <c r="B963" s="26"/>
      <c r="C963" s="26"/>
      <c r="D963" s="27"/>
    </row>
    <row r="964">
      <c r="B964" s="26"/>
      <c r="C964" s="26"/>
      <c r="D964" s="27"/>
    </row>
    <row r="965">
      <c r="B965" s="26"/>
      <c r="C965" s="26"/>
      <c r="D965" s="27"/>
    </row>
    <row r="966">
      <c r="B966" s="26"/>
      <c r="C966" s="26"/>
      <c r="D966" s="27"/>
    </row>
    <row r="967">
      <c r="B967" s="26"/>
      <c r="C967" s="26"/>
      <c r="D967" s="27"/>
    </row>
    <row r="968">
      <c r="B968" s="26"/>
      <c r="C968" s="26"/>
      <c r="D968" s="27"/>
    </row>
    <row r="969">
      <c r="B969" s="26"/>
      <c r="C969" s="26"/>
      <c r="D969" s="27"/>
    </row>
    <row r="970">
      <c r="B970" s="26"/>
      <c r="C970" s="26"/>
      <c r="D970" s="27"/>
    </row>
    <row r="971">
      <c r="B971" s="26"/>
      <c r="C971" s="26"/>
      <c r="D971" s="27"/>
    </row>
    <row r="972">
      <c r="B972" s="26"/>
      <c r="C972" s="26"/>
      <c r="D972" s="27"/>
    </row>
    <row r="973">
      <c r="B973" s="26"/>
      <c r="C973" s="26"/>
      <c r="D973" s="27"/>
    </row>
    <row r="974">
      <c r="B974" s="26"/>
      <c r="C974" s="26"/>
      <c r="D974" s="27"/>
    </row>
    <row r="975">
      <c r="B975" s="26"/>
      <c r="C975" s="26"/>
      <c r="D975" s="27"/>
    </row>
    <row r="976">
      <c r="B976" s="26"/>
      <c r="C976" s="26"/>
      <c r="D976" s="27"/>
    </row>
    <row r="977">
      <c r="B977" s="26"/>
      <c r="C977" s="26"/>
      <c r="D977" s="27"/>
    </row>
    <row r="978">
      <c r="B978" s="26"/>
      <c r="C978" s="26"/>
      <c r="D978" s="27"/>
    </row>
    <row r="979">
      <c r="B979" s="26"/>
      <c r="C979" s="26"/>
      <c r="D979" s="27"/>
    </row>
    <row r="980">
      <c r="B980" s="26"/>
      <c r="C980" s="26"/>
      <c r="D980" s="27"/>
    </row>
    <row r="981">
      <c r="B981" s="26"/>
      <c r="C981" s="26"/>
      <c r="D981" s="27"/>
    </row>
    <row r="982">
      <c r="B982" s="26"/>
      <c r="C982" s="26"/>
      <c r="D982" s="27"/>
    </row>
    <row r="983">
      <c r="B983" s="26"/>
      <c r="C983" s="26"/>
      <c r="D983" s="27"/>
    </row>
    <row r="984">
      <c r="B984" s="26"/>
      <c r="C984" s="26"/>
      <c r="D984" s="27"/>
    </row>
    <row r="985">
      <c r="B985" s="26"/>
      <c r="C985" s="26"/>
      <c r="D985" s="27"/>
    </row>
    <row r="986">
      <c r="B986" s="26"/>
      <c r="C986" s="26"/>
      <c r="D986" s="27"/>
    </row>
    <row r="987">
      <c r="B987" s="26"/>
      <c r="C987" s="26"/>
      <c r="D987" s="27"/>
    </row>
    <row r="988">
      <c r="B988" s="26"/>
      <c r="C988" s="26"/>
      <c r="D988" s="27"/>
    </row>
    <row r="989">
      <c r="B989" s="26"/>
      <c r="C989" s="26"/>
      <c r="D989" s="27"/>
    </row>
    <row r="990">
      <c r="B990" s="26"/>
      <c r="C990" s="26"/>
      <c r="D990" s="27"/>
    </row>
    <row r="991">
      <c r="B991" s="26"/>
      <c r="C991" s="26"/>
      <c r="D991" s="27"/>
    </row>
    <row r="992">
      <c r="B992" s="26"/>
      <c r="C992" s="26"/>
      <c r="D992" s="27"/>
    </row>
    <row r="993">
      <c r="B993" s="26"/>
      <c r="C993" s="26"/>
      <c r="D993" s="27"/>
    </row>
    <row r="994">
      <c r="B994" s="26"/>
      <c r="C994" s="26"/>
      <c r="D994" s="27"/>
    </row>
    <row r="995">
      <c r="B995" s="26"/>
      <c r="C995" s="26"/>
      <c r="D995" s="27"/>
    </row>
    <row r="996">
      <c r="B996" s="26"/>
      <c r="C996" s="26"/>
      <c r="D996" s="27"/>
    </row>
    <row r="997">
      <c r="B997" s="26"/>
      <c r="C997" s="26"/>
      <c r="D997" s="27"/>
    </row>
    <row r="998">
      <c r="B998" s="26"/>
      <c r="C998" s="26"/>
      <c r="D998" s="27"/>
    </row>
    <row r="999">
      <c r="B999" s="26"/>
      <c r="C999" s="26"/>
      <c r="D999" s="27"/>
    </row>
    <row r="1000">
      <c r="B1000" s="26"/>
      <c r="C1000" s="26"/>
      <c r="D1000" s="27"/>
    </row>
    <row r="1001">
      <c r="B1001" s="26"/>
      <c r="C1001" s="26"/>
      <c r="D1001" s="27"/>
    </row>
    <row r="1002">
      <c r="B1002" s="26"/>
      <c r="C1002" s="26"/>
      <c r="D1002" s="27"/>
    </row>
    <row r="1003">
      <c r="B1003" s="26"/>
      <c r="C1003" s="26"/>
      <c r="D1003" s="27"/>
    </row>
    <row r="1004">
      <c r="B1004" s="26"/>
      <c r="C1004" s="26"/>
      <c r="D1004" s="27"/>
    </row>
    <row r="1005">
      <c r="B1005" s="26"/>
      <c r="C1005" s="26"/>
      <c r="D1005" s="27"/>
    </row>
    <row r="1006">
      <c r="B1006" s="26"/>
      <c r="C1006" s="26"/>
      <c r="D1006" s="27"/>
    </row>
    <row r="1007">
      <c r="B1007" s="26"/>
      <c r="C1007" s="26"/>
      <c r="D1007" s="27"/>
    </row>
    <row r="1008">
      <c r="B1008" s="26"/>
      <c r="C1008" s="26"/>
      <c r="D1008" s="27"/>
    </row>
    <row r="1009">
      <c r="B1009" s="26"/>
      <c r="C1009" s="26"/>
      <c r="D1009" s="27"/>
    </row>
    <row r="1010">
      <c r="B1010" s="26"/>
      <c r="C1010" s="26"/>
      <c r="D1010" s="27"/>
    </row>
    <row r="1011">
      <c r="B1011" s="26"/>
      <c r="C1011" s="26"/>
      <c r="D1011" s="27"/>
    </row>
    <row r="1012">
      <c r="B1012" s="26"/>
      <c r="C1012" s="26"/>
      <c r="D1012" s="27"/>
    </row>
    <row r="1013">
      <c r="B1013" s="26"/>
      <c r="C1013" s="26"/>
      <c r="D1013" s="27"/>
    </row>
    <row r="1014">
      <c r="B1014" s="26"/>
      <c r="C1014" s="26"/>
      <c r="D1014" s="27"/>
    </row>
    <row r="1015">
      <c r="B1015" s="26"/>
      <c r="C1015" s="26"/>
      <c r="D1015" s="27"/>
    </row>
    <row r="1016">
      <c r="B1016" s="26"/>
      <c r="C1016" s="26"/>
      <c r="D1016" s="27"/>
    </row>
    <row r="1017">
      <c r="B1017" s="26"/>
      <c r="C1017" s="26"/>
      <c r="D1017" s="27"/>
    </row>
    <row r="1018">
      <c r="B1018" s="26"/>
      <c r="C1018" s="26"/>
      <c r="D1018" s="27"/>
    </row>
    <row r="1019">
      <c r="B1019" s="26"/>
      <c r="C1019" s="26"/>
      <c r="D1019" s="27"/>
    </row>
    <row r="1020">
      <c r="B1020" s="26"/>
      <c r="C1020" s="26"/>
      <c r="D1020"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4" max="4" width="22.38"/>
  </cols>
  <sheetData>
    <row r="1">
      <c r="A1" s="4" t="s">
        <v>83</v>
      </c>
      <c r="B1" s="4" t="s">
        <v>84</v>
      </c>
      <c r="C1" s="4" t="s">
        <v>10</v>
      </c>
      <c r="D1" s="4"/>
      <c r="E1" s="2"/>
      <c r="F1" s="2"/>
      <c r="G1" s="2"/>
      <c r="H1" s="2"/>
      <c r="I1" s="2"/>
      <c r="J1" s="2"/>
      <c r="K1" s="2"/>
      <c r="L1" s="2"/>
      <c r="M1" s="2"/>
      <c r="N1" s="2"/>
      <c r="O1" s="2"/>
      <c r="P1" s="2"/>
      <c r="Q1" s="2"/>
      <c r="R1" s="2"/>
      <c r="S1" s="2"/>
      <c r="T1" s="2"/>
      <c r="U1" s="2"/>
      <c r="V1" s="2"/>
      <c r="W1" s="2"/>
      <c r="X1" s="2"/>
      <c r="Y1" s="2"/>
    </row>
    <row r="2">
      <c r="A2" s="5" t="s">
        <v>85</v>
      </c>
      <c r="B2" s="5">
        <v>1.0</v>
      </c>
      <c r="C2" s="5">
        <v>1.0</v>
      </c>
    </row>
    <row r="3">
      <c r="A3" s="5" t="s">
        <v>85</v>
      </c>
      <c r="B3" s="5">
        <v>2.0</v>
      </c>
      <c r="C3" s="5">
        <v>17.0</v>
      </c>
    </row>
    <row r="4">
      <c r="A4" s="5" t="s">
        <v>85</v>
      </c>
      <c r="B4" s="5">
        <v>3.0</v>
      </c>
      <c r="C4" s="5">
        <v>6.0</v>
      </c>
    </row>
    <row r="5">
      <c r="A5" s="5" t="s">
        <v>85</v>
      </c>
      <c r="B5" s="5">
        <v>4.0</v>
      </c>
      <c r="C5" s="5">
        <v>22.0</v>
      </c>
    </row>
    <row r="6">
      <c r="A6" s="5" t="s">
        <v>85</v>
      </c>
      <c r="B6" s="5">
        <v>5.0</v>
      </c>
      <c r="C6" s="5">
        <v>11.0</v>
      </c>
    </row>
    <row r="7">
      <c r="A7" s="5" t="s">
        <v>85</v>
      </c>
      <c r="B7" s="5">
        <v>6.0</v>
      </c>
      <c r="C7" s="5">
        <v>27.0</v>
      </c>
    </row>
    <row r="8">
      <c r="A8" s="5" t="s">
        <v>85</v>
      </c>
      <c r="B8" s="5">
        <v>7.0</v>
      </c>
      <c r="C8" s="5">
        <v>16.0</v>
      </c>
    </row>
    <row r="9">
      <c r="A9" s="5" t="s">
        <v>85</v>
      </c>
      <c r="B9" s="5">
        <v>8.0</v>
      </c>
      <c r="C9" s="5">
        <v>32.0</v>
      </c>
    </row>
    <row r="10">
      <c r="A10" s="5" t="s">
        <v>86</v>
      </c>
      <c r="B10" s="5">
        <v>1.0</v>
      </c>
      <c r="C10" s="5">
        <v>13.0</v>
      </c>
    </row>
    <row r="11">
      <c r="A11" s="5" t="s">
        <v>86</v>
      </c>
      <c r="B11" s="5">
        <v>2.0</v>
      </c>
      <c r="C11" s="5">
        <v>29.0</v>
      </c>
    </row>
    <row r="12">
      <c r="A12" s="5" t="s">
        <v>86</v>
      </c>
      <c r="B12" s="5">
        <v>3.0</v>
      </c>
      <c r="C12" s="5">
        <v>2.0</v>
      </c>
    </row>
    <row r="13">
      <c r="A13" s="5" t="s">
        <v>86</v>
      </c>
      <c r="B13" s="5">
        <v>4.0</v>
      </c>
      <c r="C13" s="5">
        <v>18.0</v>
      </c>
    </row>
    <row r="14">
      <c r="A14" s="5" t="s">
        <v>86</v>
      </c>
      <c r="B14" s="5">
        <v>5.0</v>
      </c>
      <c r="C14" s="5">
        <v>7.0</v>
      </c>
    </row>
    <row r="15">
      <c r="A15" s="5" t="s">
        <v>86</v>
      </c>
      <c r="B15" s="5">
        <v>6.0</v>
      </c>
      <c r="C15" s="5">
        <v>23.0</v>
      </c>
    </row>
    <row r="16">
      <c r="A16" s="5" t="s">
        <v>86</v>
      </c>
      <c r="B16" s="5">
        <v>7.0</v>
      </c>
      <c r="C16" s="5">
        <v>12.0</v>
      </c>
    </row>
    <row r="17">
      <c r="A17" s="5" t="s">
        <v>86</v>
      </c>
      <c r="B17" s="5">
        <v>8.0</v>
      </c>
      <c r="C17" s="5">
        <v>28.0</v>
      </c>
    </row>
    <row r="18">
      <c r="A18" s="5" t="s">
        <v>87</v>
      </c>
      <c r="B18" s="5">
        <v>1.0</v>
      </c>
      <c r="C18" s="5">
        <v>9.0</v>
      </c>
    </row>
    <row r="19">
      <c r="A19" s="5" t="s">
        <v>87</v>
      </c>
      <c r="B19" s="5">
        <v>2.0</v>
      </c>
      <c r="C19" s="5">
        <v>25.0</v>
      </c>
    </row>
    <row r="20">
      <c r="A20" s="5" t="s">
        <v>87</v>
      </c>
      <c r="B20" s="5">
        <v>3.0</v>
      </c>
      <c r="C20" s="5">
        <v>14.0</v>
      </c>
    </row>
    <row r="21">
      <c r="A21" s="5" t="s">
        <v>87</v>
      </c>
      <c r="B21" s="5">
        <v>4.0</v>
      </c>
      <c r="C21" s="5">
        <v>30.0</v>
      </c>
    </row>
    <row r="22">
      <c r="A22" s="5" t="s">
        <v>87</v>
      </c>
      <c r="B22" s="5">
        <v>5.0</v>
      </c>
      <c r="C22" s="5">
        <v>3.0</v>
      </c>
    </row>
    <row r="23">
      <c r="A23" s="5" t="s">
        <v>87</v>
      </c>
      <c r="B23" s="5">
        <v>6.0</v>
      </c>
      <c r="C23" s="5">
        <v>19.0</v>
      </c>
    </row>
    <row r="24">
      <c r="A24" s="5" t="s">
        <v>87</v>
      </c>
      <c r="B24" s="5">
        <v>7.0</v>
      </c>
      <c r="C24" s="5">
        <v>8.0</v>
      </c>
    </row>
    <row r="25">
      <c r="A25" s="5" t="s">
        <v>87</v>
      </c>
      <c r="B25" s="5">
        <v>8.0</v>
      </c>
      <c r="C25" s="5">
        <v>24.0</v>
      </c>
    </row>
    <row r="26">
      <c r="A26" s="5" t="s">
        <v>88</v>
      </c>
      <c r="B26" s="5">
        <v>1.0</v>
      </c>
      <c r="C26" s="5">
        <v>5.0</v>
      </c>
    </row>
    <row r="27">
      <c r="A27" s="5" t="s">
        <v>88</v>
      </c>
      <c r="B27" s="5">
        <v>2.0</v>
      </c>
      <c r="C27" s="5">
        <v>21.0</v>
      </c>
    </row>
    <row r="28">
      <c r="A28" s="5" t="s">
        <v>88</v>
      </c>
      <c r="B28" s="5">
        <v>3.0</v>
      </c>
      <c r="C28" s="5">
        <v>10.0</v>
      </c>
    </row>
    <row r="29">
      <c r="A29" s="5" t="s">
        <v>88</v>
      </c>
      <c r="B29" s="5">
        <v>4.0</v>
      </c>
      <c r="C29" s="5">
        <v>26.0</v>
      </c>
    </row>
    <row r="30">
      <c r="A30" s="5" t="s">
        <v>88</v>
      </c>
      <c r="B30" s="5">
        <v>5.0</v>
      </c>
      <c r="C30" s="5">
        <v>15.0</v>
      </c>
    </row>
    <row r="31">
      <c r="A31" s="5" t="s">
        <v>88</v>
      </c>
      <c r="B31" s="5">
        <v>6.0</v>
      </c>
      <c r="C31" s="5">
        <v>31.0</v>
      </c>
    </row>
    <row r="32">
      <c r="A32" s="5" t="s">
        <v>88</v>
      </c>
      <c r="B32" s="5">
        <v>7.0</v>
      </c>
      <c r="C32" s="5">
        <v>4.0</v>
      </c>
    </row>
    <row r="33">
      <c r="A33" s="5" t="s">
        <v>88</v>
      </c>
      <c r="B33" s="5">
        <v>8.0</v>
      </c>
      <c r="C33" s="5">
        <v>20.0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v>1.0</v>
      </c>
      <c r="B1" s="23" t="s">
        <v>89</v>
      </c>
    </row>
    <row r="2">
      <c r="A2" s="22">
        <v>2.0</v>
      </c>
      <c r="B2" s="23" t="s">
        <v>90</v>
      </c>
    </row>
    <row r="3">
      <c r="A3" s="22">
        <v>3.0</v>
      </c>
      <c r="B3" s="23" t="s">
        <v>91</v>
      </c>
    </row>
    <row r="4">
      <c r="A4" s="22">
        <v>4.0</v>
      </c>
      <c r="B4" s="23" t="s">
        <v>92</v>
      </c>
    </row>
    <row r="5">
      <c r="A5" s="22">
        <v>5.0</v>
      </c>
      <c r="B5" s="23" t="s">
        <v>93</v>
      </c>
    </row>
    <row r="6">
      <c r="A6" s="22">
        <v>6.0</v>
      </c>
      <c r="B6" s="23" t="s">
        <v>94</v>
      </c>
    </row>
    <row r="7">
      <c r="A7" s="22">
        <v>13.0</v>
      </c>
      <c r="B7" s="23" t="s">
        <v>95</v>
      </c>
    </row>
    <row r="8">
      <c r="A8" s="22">
        <v>14.0</v>
      </c>
      <c r="B8" s="23" t="s">
        <v>96</v>
      </c>
    </row>
    <row r="9">
      <c r="A9" s="22">
        <v>15.0</v>
      </c>
      <c r="B9" s="23" t="s">
        <v>97</v>
      </c>
    </row>
    <row r="10">
      <c r="A10" s="22">
        <v>16.0</v>
      </c>
      <c r="B10" s="23" t="s">
        <v>98</v>
      </c>
    </row>
    <row r="11">
      <c r="A11" s="22">
        <v>17.0</v>
      </c>
      <c r="B11" s="23" t="s">
        <v>99</v>
      </c>
    </row>
    <row r="12">
      <c r="A12" s="22">
        <v>18.0</v>
      </c>
      <c r="B12" s="23" t="s">
        <v>100</v>
      </c>
    </row>
    <row r="13">
      <c r="A13" s="22">
        <v>19.0</v>
      </c>
      <c r="B13" s="23" t="s">
        <v>101</v>
      </c>
    </row>
    <row r="14">
      <c r="A14" s="22">
        <v>20.0</v>
      </c>
      <c r="B14" s="23" t="s">
        <v>102</v>
      </c>
    </row>
    <row r="15">
      <c r="A15" s="22">
        <v>21.0</v>
      </c>
      <c r="B15" s="23" t="s">
        <v>103</v>
      </c>
    </row>
    <row r="16">
      <c r="A16" s="22">
        <v>22.0</v>
      </c>
      <c r="B16" s="23" t="s">
        <v>104</v>
      </c>
    </row>
    <row r="17">
      <c r="A17" s="22">
        <v>23.0</v>
      </c>
      <c r="B17" s="23" t="s">
        <v>105</v>
      </c>
    </row>
    <row r="18">
      <c r="A18" s="22">
        <v>24.0</v>
      </c>
      <c r="B18" s="23" t="s">
        <v>106</v>
      </c>
    </row>
    <row r="19">
      <c r="A19" s="22">
        <v>25.0</v>
      </c>
      <c r="B19" s="23" t="s">
        <v>107</v>
      </c>
    </row>
    <row r="20">
      <c r="A20" s="22">
        <v>26.0</v>
      </c>
      <c r="B20" s="23" t="s">
        <v>108</v>
      </c>
    </row>
    <row r="21">
      <c r="A21" s="22">
        <v>27.0</v>
      </c>
      <c r="B21" s="23"/>
    </row>
    <row r="22">
      <c r="A22" s="22">
        <v>28.0</v>
      </c>
      <c r="B22" s="23" t="s">
        <v>109</v>
      </c>
    </row>
    <row r="23">
      <c r="A23" s="22">
        <v>29.0</v>
      </c>
      <c r="B23" s="23" t="s">
        <v>110</v>
      </c>
    </row>
    <row r="24">
      <c r="A24" s="22">
        <v>30.0</v>
      </c>
      <c r="B24" s="23" t="s">
        <v>111</v>
      </c>
    </row>
    <row r="25">
      <c r="A25" s="22">
        <v>31.0</v>
      </c>
      <c r="B25" s="23" t="s">
        <v>112</v>
      </c>
    </row>
    <row r="26">
      <c r="A26" s="22">
        <v>32.0</v>
      </c>
      <c r="B26" s="23" t="s">
        <v>113</v>
      </c>
    </row>
    <row r="27">
      <c r="A27" s="22">
        <v>101.0</v>
      </c>
      <c r="B27" s="23" t="s">
        <v>114</v>
      </c>
    </row>
    <row r="28">
      <c r="A28" s="22">
        <v>104.0</v>
      </c>
      <c r="B28" s="23" t="s">
        <v>115</v>
      </c>
    </row>
    <row r="29">
      <c r="A29" s="22">
        <v>105.0</v>
      </c>
      <c r="B29" s="23" t="s">
        <v>116</v>
      </c>
    </row>
    <row r="30">
      <c r="A30" s="22">
        <v>106.0</v>
      </c>
      <c r="B30" s="23" t="s">
        <v>117</v>
      </c>
    </row>
    <row r="31">
      <c r="A31" s="22">
        <v>107.0</v>
      </c>
      <c r="B31" s="23" t="s">
        <v>118</v>
      </c>
    </row>
    <row r="32">
      <c r="A32" s="22">
        <v>108.0</v>
      </c>
      <c r="B32" s="23" t="s">
        <v>119</v>
      </c>
    </row>
    <row r="33">
      <c r="A33" s="22">
        <v>109.0</v>
      </c>
      <c r="B33" s="23" t="s">
        <v>120</v>
      </c>
    </row>
    <row r="34">
      <c r="A34" s="22">
        <v>110.0</v>
      </c>
      <c r="B34" s="23" t="s">
        <v>121</v>
      </c>
    </row>
    <row r="35">
      <c r="A35" s="22"/>
      <c r="B35" s="23"/>
    </row>
    <row r="36">
      <c r="A36" s="22">
        <v>112.0</v>
      </c>
      <c r="B36" s="23" t="s">
        <v>122</v>
      </c>
    </row>
    <row r="37">
      <c r="A37" s="22">
        <v>113.0</v>
      </c>
      <c r="B37" s="23" t="s">
        <v>123</v>
      </c>
    </row>
    <row r="38">
      <c r="A38" s="22">
        <v>115.0</v>
      </c>
      <c r="B38" s="23" t="s">
        <v>124</v>
      </c>
    </row>
    <row r="39">
      <c r="A39" s="22">
        <v>116.0</v>
      </c>
      <c r="B39" s="23" t="s">
        <v>125</v>
      </c>
    </row>
    <row r="40">
      <c r="A40" s="22">
        <v>117.0</v>
      </c>
      <c r="B40" s="23" t="s">
        <v>126</v>
      </c>
    </row>
    <row r="41">
      <c r="A41" s="22">
        <v>118.0</v>
      </c>
      <c r="B41" s="23" t="s">
        <v>127</v>
      </c>
    </row>
    <row r="42">
      <c r="A42" s="22">
        <v>119.0</v>
      </c>
      <c r="B42" s="23" t="s">
        <v>128</v>
      </c>
    </row>
    <row r="43">
      <c r="A43" s="22">
        <v>120.0</v>
      </c>
      <c r="B43" s="23" t="s">
        <v>129</v>
      </c>
    </row>
    <row r="44">
      <c r="A44" s="22">
        <v>121.0</v>
      </c>
      <c r="B44" s="23" t="s">
        <v>130</v>
      </c>
    </row>
    <row r="45">
      <c r="A45" s="22">
        <v>123.0</v>
      </c>
      <c r="B45" s="23" t="s">
        <v>131</v>
      </c>
    </row>
    <row r="46">
      <c r="A46" s="22">
        <v>124.0</v>
      </c>
      <c r="B46" s="23" t="s">
        <v>132</v>
      </c>
    </row>
    <row r="47">
      <c r="A47" s="22">
        <v>126.0</v>
      </c>
      <c r="B47" s="23" t="s">
        <v>133</v>
      </c>
    </row>
    <row r="48">
      <c r="A48" s="22">
        <v>127.0</v>
      </c>
      <c r="B48" s="23" t="s">
        <v>134</v>
      </c>
    </row>
    <row r="49">
      <c r="A49" s="22">
        <v>128.0</v>
      </c>
      <c r="B49" s="23" t="s">
        <v>135</v>
      </c>
    </row>
    <row r="50">
      <c r="A50" s="22">
        <v>129.0</v>
      </c>
      <c r="B50" s="23" t="s">
        <v>136</v>
      </c>
    </row>
    <row r="51">
      <c r="A51" s="22">
        <v>130.0</v>
      </c>
      <c r="B51" s="23" t="s">
        <v>137</v>
      </c>
    </row>
    <row r="52">
      <c r="A52" s="22">
        <v>131.0</v>
      </c>
      <c r="B52" s="23" t="s">
        <v>138</v>
      </c>
    </row>
    <row r="53">
      <c r="A53" s="22">
        <v>132.0</v>
      </c>
      <c r="B53" s="23" t="s">
        <v>139</v>
      </c>
    </row>
    <row r="54">
      <c r="A54" s="22">
        <v>133.0</v>
      </c>
      <c r="B54" s="23" t="s">
        <v>140</v>
      </c>
    </row>
    <row r="55">
      <c r="A55" s="22">
        <v>134.0</v>
      </c>
      <c r="B55" s="23" t="s">
        <v>141</v>
      </c>
    </row>
    <row r="56">
      <c r="A56" s="22">
        <v>135.0</v>
      </c>
      <c r="B56" s="23" t="s">
        <v>142</v>
      </c>
    </row>
    <row r="57">
      <c r="A57" s="22">
        <v>136.0</v>
      </c>
      <c r="B57" s="23" t="s">
        <v>143</v>
      </c>
    </row>
    <row r="58">
      <c r="A58" s="22">
        <v>137.0</v>
      </c>
      <c r="B58" s="23" t="s">
        <v>144</v>
      </c>
    </row>
    <row r="59">
      <c r="A59" s="22">
        <v>138.0</v>
      </c>
      <c r="B59" s="23" t="s">
        <v>145</v>
      </c>
    </row>
    <row r="60">
      <c r="A60" s="22">
        <v>139.0</v>
      </c>
      <c r="B60" s="23" t="s">
        <v>146</v>
      </c>
    </row>
    <row r="61">
      <c r="A61" s="23" t="s">
        <v>10</v>
      </c>
      <c r="B61" s="23" t="s">
        <v>147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c r="B1" s="23" t="s">
        <v>148</v>
      </c>
    </row>
    <row r="2">
      <c r="A2" s="22"/>
      <c r="B2" s="23" t="s">
        <v>149</v>
      </c>
    </row>
    <row r="3">
      <c r="A3" s="22"/>
      <c r="B3" s="23"/>
    </row>
    <row r="4">
      <c r="A4" s="22"/>
      <c r="B4" s="23" t="s">
        <v>150</v>
      </c>
    </row>
    <row r="5">
      <c r="A5" s="22"/>
      <c r="B5" s="23" t="s">
        <v>151</v>
      </c>
    </row>
    <row r="6">
      <c r="A6" s="22"/>
      <c r="B6" s="23" t="s">
        <v>152</v>
      </c>
    </row>
    <row r="7">
      <c r="A7" s="22"/>
      <c r="B7" s="23" t="s">
        <v>153</v>
      </c>
    </row>
    <row r="8">
      <c r="A8" s="22"/>
      <c r="B8" s="23" t="s">
        <v>154</v>
      </c>
    </row>
    <row r="9">
      <c r="A9" s="22"/>
      <c r="B9" s="23" t="s">
        <v>155</v>
      </c>
    </row>
    <row r="10">
      <c r="A10" s="22"/>
      <c r="B10" s="23" t="s">
        <v>156</v>
      </c>
    </row>
    <row r="11">
      <c r="A11" s="22"/>
      <c r="B11" s="23" t="s">
        <v>157</v>
      </c>
    </row>
    <row r="12">
      <c r="A12" s="22"/>
      <c r="B12" s="23" t="s">
        <v>158</v>
      </c>
    </row>
    <row r="13">
      <c r="A13" s="22"/>
      <c r="B13" s="23" t="s">
        <v>159</v>
      </c>
    </row>
    <row r="14">
      <c r="A14" s="22"/>
      <c r="B14" s="23" t="s">
        <v>160</v>
      </c>
    </row>
    <row r="15">
      <c r="A15" s="22"/>
      <c r="B15" s="23" t="s">
        <v>161</v>
      </c>
    </row>
    <row r="16">
      <c r="A16" s="22"/>
      <c r="B16" s="23" t="s">
        <v>162</v>
      </c>
    </row>
    <row r="17">
      <c r="A17" s="22"/>
      <c r="B17" s="23" t="s">
        <v>163</v>
      </c>
    </row>
    <row r="18">
      <c r="A18" s="22"/>
      <c r="B18" s="23" t="s">
        <v>164</v>
      </c>
    </row>
    <row r="19">
      <c r="A19" s="22"/>
      <c r="B19" s="23" t="s">
        <v>165</v>
      </c>
    </row>
    <row r="20">
      <c r="A20" s="22"/>
      <c r="B20" s="23" t="s">
        <v>166</v>
      </c>
    </row>
    <row r="21">
      <c r="A21" s="22"/>
      <c r="B21" s="23" t="s">
        <v>167</v>
      </c>
    </row>
    <row r="22">
      <c r="A22" s="22"/>
      <c r="B22" s="23" t="s">
        <v>168</v>
      </c>
    </row>
    <row r="23">
      <c r="A23" s="22"/>
      <c r="B23" s="23" t="s">
        <v>169</v>
      </c>
    </row>
    <row r="24">
      <c r="A24" s="22"/>
      <c r="B24" s="23" t="s">
        <v>170</v>
      </c>
    </row>
    <row r="25">
      <c r="A25" s="22"/>
      <c r="B25" s="23" t="s">
        <v>171</v>
      </c>
    </row>
    <row r="26">
      <c r="A26" s="22"/>
      <c r="B26" s="23" t="s">
        <v>172</v>
      </c>
    </row>
    <row r="27">
      <c r="A27" s="22"/>
      <c r="B27" s="23" t="s">
        <v>173</v>
      </c>
    </row>
    <row r="28">
      <c r="A28" s="22"/>
      <c r="B28" s="23" t="s">
        <v>174</v>
      </c>
    </row>
    <row r="29">
      <c r="A29" s="22"/>
      <c r="B29" s="23" t="s">
        <v>175</v>
      </c>
    </row>
    <row r="30">
      <c r="A30" s="22"/>
      <c r="B30" s="23" t="s">
        <v>176</v>
      </c>
    </row>
    <row r="31">
      <c r="B31" s="5" t="s">
        <v>172</v>
      </c>
    </row>
    <row r="32">
      <c r="B32" s="5" t="s">
        <v>173</v>
      </c>
    </row>
    <row r="33">
      <c r="B33" s="5" t="s">
        <v>174</v>
      </c>
    </row>
    <row r="34">
      <c r="B34" s="5" t="s">
        <v>175</v>
      </c>
    </row>
    <row r="35">
      <c r="B35" s="5" t="s">
        <v>176</v>
      </c>
    </row>
  </sheetData>
  <drawing r:id="rId1"/>
</worksheet>
</file>